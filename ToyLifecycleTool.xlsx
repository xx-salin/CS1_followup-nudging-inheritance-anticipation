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ropbox\AnticipatingInheritances\Experiment\Reframed\"/>
    </mc:Choice>
  </mc:AlternateContent>
  <xr:revisionPtr revIDLastSave="0" documentId="13_ncr:1_{7E179D7D-590C-4596-AE8E-5AF4FBD9D1BF}" xr6:coauthVersionLast="47" xr6:coauthVersionMax="47" xr10:uidLastSave="{00000000-0000-0000-0000-000000000000}"/>
  <bookViews>
    <workbookView xWindow="-105" yWindow="0" windowWidth="29010" windowHeight="23385" xr2:uid="{00420943-2761-49B4-90B2-04EA73682383}"/>
  </bookViews>
  <sheets>
    <sheet name="All - Before Scenario" sheetId="1" r:id="rId1"/>
    <sheet name="Reframed - Present" sheetId="3" r:id="rId2"/>
    <sheet name="Reframed - Future" sheetId="4" r:id="rId3"/>
    <sheet name="Natural_1 - Present" sheetId="10" r:id="rId4"/>
    <sheet name="Natural_1 - Future" sheetId="11" r:id="rId5"/>
    <sheet name="Natural_2 - Present" sheetId="8" r:id="rId6"/>
    <sheet name="Natural_2 - Future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5" i="3" l="1"/>
  <c r="M35" i="3" s="1"/>
  <c r="N35" i="3" s="1"/>
  <c r="O35" i="3" s="1"/>
  <c r="P35" i="3" s="1"/>
  <c r="Q35" i="3" s="1"/>
  <c r="R35" i="3" s="1"/>
  <c r="S35" i="3" s="1"/>
  <c r="T35" i="3" s="1"/>
  <c r="U35" i="3" s="1"/>
  <c r="V35" i="3" s="1"/>
  <c r="W35" i="3" s="1"/>
  <c r="X35" i="3" s="1"/>
  <c r="Y35" i="3" s="1"/>
  <c r="Z35" i="3" s="1"/>
  <c r="AA35" i="3" s="1"/>
  <c r="AB35" i="3" s="1"/>
  <c r="AC35" i="3" s="1"/>
  <c r="AD35" i="3" s="1"/>
  <c r="AE35" i="3" s="1"/>
  <c r="AF35" i="3" s="1"/>
  <c r="AG35" i="3" s="1"/>
  <c r="AH35" i="3" s="1"/>
  <c r="AI35" i="3" s="1"/>
  <c r="AJ35" i="3" s="1"/>
  <c r="AK35" i="3" s="1"/>
  <c r="AL35" i="3" s="1"/>
  <c r="AM35" i="3" s="1"/>
  <c r="AN35" i="3" s="1"/>
  <c r="AO35" i="3" s="1"/>
  <c r="AP35" i="3" s="1"/>
  <c r="AQ35" i="3" s="1"/>
  <c r="AR35" i="3" s="1"/>
  <c r="AS35" i="3" s="1"/>
  <c r="AT35" i="3" s="1"/>
  <c r="AU35" i="3" s="1"/>
  <c r="AV35" i="3" s="1"/>
  <c r="AW35" i="3" s="1"/>
  <c r="AX35" i="3" s="1"/>
  <c r="L35" i="4"/>
  <c r="M35" i="4" s="1"/>
  <c r="N35" i="4" s="1"/>
  <c r="O35" i="4" s="1"/>
  <c r="P35" i="4" s="1"/>
  <c r="Q35" i="4" s="1"/>
  <c r="R35" i="4" s="1"/>
  <c r="S35" i="4" s="1"/>
  <c r="T35" i="4" s="1"/>
  <c r="U35" i="4" s="1"/>
  <c r="V35" i="4" s="1"/>
  <c r="W35" i="4" s="1"/>
  <c r="X35" i="4" s="1"/>
  <c r="Y35" i="4" s="1"/>
  <c r="Z35" i="4" s="1"/>
  <c r="AA35" i="4" s="1"/>
  <c r="AB35" i="4" s="1"/>
  <c r="AC35" i="4" s="1"/>
  <c r="AD35" i="4" s="1"/>
  <c r="AE35" i="4" s="1"/>
  <c r="AF35" i="4" s="1"/>
  <c r="AG35" i="4" s="1"/>
  <c r="AH35" i="4" s="1"/>
  <c r="AI35" i="4" s="1"/>
  <c r="AJ35" i="4" s="1"/>
  <c r="AK35" i="4" s="1"/>
  <c r="AL35" i="4" s="1"/>
  <c r="AM35" i="4" s="1"/>
  <c r="AN35" i="4" s="1"/>
  <c r="AO35" i="4" s="1"/>
  <c r="AP35" i="4" s="1"/>
  <c r="AQ35" i="4" s="1"/>
  <c r="AR35" i="4" s="1"/>
  <c r="AS35" i="4" s="1"/>
  <c r="AT35" i="4" s="1"/>
  <c r="AU35" i="4" s="1"/>
  <c r="AV35" i="4" s="1"/>
  <c r="AW35" i="4" s="1"/>
  <c r="AX35" i="4" s="1"/>
  <c r="J23" i="9"/>
  <c r="I23" i="9"/>
  <c r="L22" i="9"/>
  <c r="M22" i="9" s="1"/>
  <c r="N22" i="9" s="1"/>
  <c r="O22" i="9" s="1"/>
  <c r="P22" i="9" s="1"/>
  <c r="Q22" i="9" s="1"/>
  <c r="R22" i="9" s="1"/>
  <c r="S22" i="9" s="1"/>
  <c r="T22" i="9" s="1"/>
  <c r="U22" i="9" s="1"/>
  <c r="V22" i="9" s="1"/>
  <c r="W22" i="9" s="1"/>
  <c r="X22" i="9" s="1"/>
  <c r="AX21" i="9"/>
  <c r="AW21" i="9"/>
  <c r="AV21" i="9"/>
  <c r="AU21" i="9"/>
  <c r="AT21" i="9"/>
  <c r="AS21" i="9"/>
  <c r="AR21" i="9"/>
  <c r="AQ21" i="9"/>
  <c r="AP21" i="9"/>
  <c r="AO21" i="9"/>
  <c r="AN21" i="9"/>
  <c r="AM21" i="9"/>
  <c r="AL21" i="9"/>
  <c r="AK21" i="9"/>
  <c r="AJ21" i="9"/>
  <c r="AI21" i="9"/>
  <c r="AH21" i="9"/>
  <c r="AG21" i="9"/>
  <c r="AF21" i="9"/>
  <c r="AE21" i="9"/>
  <c r="AD21" i="9"/>
  <c r="AC21" i="9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P23" i="9" s="1"/>
  <c r="O21" i="9"/>
  <c r="O23" i="9" s="1"/>
  <c r="N21" i="9"/>
  <c r="M21" i="9"/>
  <c r="L21" i="9"/>
  <c r="L23" i="9" s="1"/>
  <c r="J21" i="9"/>
  <c r="I21" i="9"/>
  <c r="H21" i="9"/>
  <c r="H23" i="9" s="1"/>
  <c r="G21" i="9"/>
  <c r="G23" i="9" s="1"/>
  <c r="F21" i="9"/>
  <c r="F23" i="9" s="1"/>
  <c r="E21" i="9"/>
  <c r="E23" i="9" s="1"/>
  <c r="D21" i="9"/>
  <c r="D23" i="9" s="1"/>
  <c r="C21" i="9"/>
  <c r="C23" i="9" s="1"/>
  <c r="C24" i="9" s="1"/>
  <c r="D24" i="9" s="1"/>
  <c r="E24" i="9" s="1"/>
  <c r="F24" i="9" s="1"/>
  <c r="G24" i="9" s="1"/>
  <c r="H24" i="9" s="1"/>
  <c r="I24" i="9" s="1"/>
  <c r="J24" i="9" s="1"/>
  <c r="L24" i="9" s="1"/>
  <c r="E20" i="9"/>
  <c r="F20" i="9" s="1"/>
  <c r="G20" i="9" s="1"/>
  <c r="H20" i="9" s="1"/>
  <c r="I20" i="9" s="1"/>
  <c r="J20" i="9" s="1"/>
  <c r="L20" i="9" s="1"/>
  <c r="M20" i="9" s="1"/>
  <c r="N20" i="9" s="1"/>
  <c r="O20" i="9" s="1"/>
  <c r="P20" i="9" s="1"/>
  <c r="Q20" i="9" s="1"/>
  <c r="R20" i="9" s="1"/>
  <c r="S20" i="9" s="1"/>
  <c r="T20" i="9" s="1"/>
  <c r="U20" i="9" s="1"/>
  <c r="V20" i="9" s="1"/>
  <c r="W20" i="9" s="1"/>
  <c r="X20" i="9" s="1"/>
  <c r="Y20" i="9" s="1"/>
  <c r="Z20" i="9" s="1"/>
  <c r="AA20" i="9" s="1"/>
  <c r="AB20" i="9" s="1"/>
  <c r="AC20" i="9" s="1"/>
  <c r="AD20" i="9" s="1"/>
  <c r="AE20" i="9" s="1"/>
  <c r="AF20" i="9" s="1"/>
  <c r="AG20" i="9" s="1"/>
  <c r="AH20" i="9" s="1"/>
  <c r="AI20" i="9" s="1"/>
  <c r="AJ20" i="9" s="1"/>
  <c r="AK20" i="9" s="1"/>
  <c r="AL20" i="9" s="1"/>
  <c r="AM20" i="9" s="1"/>
  <c r="AN20" i="9" s="1"/>
  <c r="AO20" i="9" s="1"/>
  <c r="AP20" i="9" s="1"/>
  <c r="AQ20" i="9" s="1"/>
  <c r="AR20" i="9" s="1"/>
  <c r="AS20" i="9" s="1"/>
  <c r="AT20" i="9" s="1"/>
  <c r="AU20" i="9" s="1"/>
  <c r="AV20" i="9" s="1"/>
  <c r="AW20" i="9" s="1"/>
  <c r="AX20" i="9" s="1"/>
  <c r="D20" i="9"/>
  <c r="J23" i="8"/>
  <c r="L22" i="8"/>
  <c r="L23" i="8" s="1"/>
  <c r="AX21" i="8"/>
  <c r="AW21" i="8"/>
  <c r="AV21" i="8"/>
  <c r="AU21" i="8"/>
  <c r="AT21" i="8"/>
  <c r="AS21" i="8"/>
  <c r="AR21" i="8"/>
  <c r="AQ21" i="8"/>
  <c r="AP21" i="8"/>
  <c r="AO21" i="8"/>
  <c r="AN21" i="8"/>
  <c r="AM21" i="8"/>
  <c r="AL21" i="8"/>
  <c r="AK21" i="8"/>
  <c r="AJ21" i="8"/>
  <c r="AI21" i="8"/>
  <c r="AH21" i="8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J21" i="8"/>
  <c r="I21" i="8"/>
  <c r="I23" i="8" s="1"/>
  <c r="H21" i="8"/>
  <c r="H23" i="8" s="1"/>
  <c r="G21" i="8"/>
  <c r="G23" i="8" s="1"/>
  <c r="F21" i="8"/>
  <c r="F23" i="8" s="1"/>
  <c r="E21" i="8"/>
  <c r="E23" i="8" s="1"/>
  <c r="D21" i="8"/>
  <c r="D23" i="8" s="1"/>
  <c r="C21" i="8"/>
  <c r="C23" i="8" s="1"/>
  <c r="C24" i="8" s="1"/>
  <c r="D24" i="8" s="1"/>
  <c r="E24" i="8" s="1"/>
  <c r="F24" i="8" s="1"/>
  <c r="G24" i="8" s="1"/>
  <c r="H24" i="8" s="1"/>
  <c r="I24" i="8" s="1"/>
  <c r="J24" i="8" s="1"/>
  <c r="L24" i="8" s="1"/>
  <c r="D20" i="8"/>
  <c r="E20" i="8" s="1"/>
  <c r="F20" i="8" s="1"/>
  <c r="G20" i="8" s="1"/>
  <c r="H20" i="8" s="1"/>
  <c r="I20" i="8" s="1"/>
  <c r="J20" i="8" s="1"/>
  <c r="L20" i="8" s="1"/>
  <c r="M20" i="8" s="1"/>
  <c r="N20" i="8" s="1"/>
  <c r="O20" i="8" s="1"/>
  <c r="P20" i="8" s="1"/>
  <c r="Q20" i="8" s="1"/>
  <c r="R20" i="8" s="1"/>
  <c r="S20" i="8" s="1"/>
  <c r="T20" i="8" s="1"/>
  <c r="U20" i="8" s="1"/>
  <c r="V20" i="8" s="1"/>
  <c r="W20" i="8" s="1"/>
  <c r="X20" i="8" s="1"/>
  <c r="Y20" i="8" s="1"/>
  <c r="Z20" i="8" s="1"/>
  <c r="AA20" i="8" s="1"/>
  <c r="AB20" i="8" s="1"/>
  <c r="AC20" i="8" s="1"/>
  <c r="AD20" i="8" s="1"/>
  <c r="AE20" i="8" s="1"/>
  <c r="AF20" i="8" s="1"/>
  <c r="AG20" i="8" s="1"/>
  <c r="AH20" i="8" s="1"/>
  <c r="AI20" i="8" s="1"/>
  <c r="AJ20" i="8" s="1"/>
  <c r="AK20" i="8" s="1"/>
  <c r="AL20" i="8" s="1"/>
  <c r="AM20" i="8" s="1"/>
  <c r="AN20" i="8" s="1"/>
  <c r="AO20" i="8" s="1"/>
  <c r="AP20" i="8" s="1"/>
  <c r="AQ20" i="8" s="1"/>
  <c r="AR20" i="8" s="1"/>
  <c r="AS20" i="8" s="1"/>
  <c r="AT20" i="8" s="1"/>
  <c r="AU20" i="8" s="1"/>
  <c r="AV20" i="8" s="1"/>
  <c r="AW20" i="8" s="1"/>
  <c r="AX20" i="8" s="1"/>
  <c r="D15" i="8"/>
  <c r="E15" i="8"/>
  <c r="F15" i="8"/>
  <c r="G15" i="8" s="1"/>
  <c r="H15" i="8" s="1"/>
  <c r="I15" i="8" s="1"/>
  <c r="J15" i="8" s="1"/>
  <c r="C16" i="8"/>
  <c r="L40" i="11"/>
  <c r="M40" i="11" s="1"/>
  <c r="N40" i="11" s="1"/>
  <c r="O40" i="11" s="1"/>
  <c r="P40" i="11" s="1"/>
  <c r="Q40" i="11" s="1"/>
  <c r="R40" i="11" s="1"/>
  <c r="S40" i="11" s="1"/>
  <c r="T40" i="11" s="1"/>
  <c r="U40" i="11" s="1"/>
  <c r="V40" i="11" s="1"/>
  <c r="W40" i="11" s="1"/>
  <c r="X40" i="11" s="1"/>
  <c r="Y40" i="11" s="1"/>
  <c r="Z40" i="11" s="1"/>
  <c r="AA40" i="11" s="1"/>
  <c r="AB40" i="11" s="1"/>
  <c r="AC40" i="11" s="1"/>
  <c r="AD40" i="11" s="1"/>
  <c r="AE40" i="11" s="1"/>
  <c r="AF40" i="11" s="1"/>
  <c r="AG40" i="11" s="1"/>
  <c r="AH40" i="11" s="1"/>
  <c r="AI40" i="11" s="1"/>
  <c r="AJ40" i="11" s="1"/>
  <c r="AK40" i="11" s="1"/>
  <c r="AL40" i="11" s="1"/>
  <c r="AM40" i="11" s="1"/>
  <c r="AN40" i="11" s="1"/>
  <c r="AO40" i="11" s="1"/>
  <c r="AP40" i="11" s="1"/>
  <c r="AQ40" i="11" s="1"/>
  <c r="AR40" i="11" s="1"/>
  <c r="AS40" i="11" s="1"/>
  <c r="AT40" i="11" s="1"/>
  <c r="AU40" i="11" s="1"/>
  <c r="AV40" i="11" s="1"/>
  <c r="AW40" i="11" s="1"/>
  <c r="AX40" i="11" s="1"/>
  <c r="L40" i="10"/>
  <c r="M40" i="10" s="1"/>
  <c r="N40" i="10" s="1"/>
  <c r="O40" i="10" s="1"/>
  <c r="P40" i="10" s="1"/>
  <c r="Q40" i="10" s="1"/>
  <c r="R40" i="10" s="1"/>
  <c r="S40" i="10" s="1"/>
  <c r="T40" i="10" s="1"/>
  <c r="U40" i="10" s="1"/>
  <c r="V40" i="10" s="1"/>
  <c r="W40" i="10" s="1"/>
  <c r="X40" i="10" s="1"/>
  <c r="Y40" i="10" s="1"/>
  <c r="Z40" i="10" s="1"/>
  <c r="AA40" i="10" s="1"/>
  <c r="AB40" i="10" s="1"/>
  <c r="AC40" i="10" s="1"/>
  <c r="AD40" i="10" s="1"/>
  <c r="AE40" i="10" s="1"/>
  <c r="AF40" i="10" s="1"/>
  <c r="AG40" i="10" s="1"/>
  <c r="AH40" i="10" s="1"/>
  <c r="AI40" i="10" s="1"/>
  <c r="AJ40" i="10" s="1"/>
  <c r="AK40" i="10" s="1"/>
  <c r="AL40" i="10" s="1"/>
  <c r="AM40" i="10" s="1"/>
  <c r="AN40" i="10" s="1"/>
  <c r="AO40" i="10" s="1"/>
  <c r="AP40" i="10" s="1"/>
  <c r="AQ40" i="10" s="1"/>
  <c r="AR40" i="10" s="1"/>
  <c r="AS40" i="10" s="1"/>
  <c r="AT40" i="10" s="1"/>
  <c r="AU40" i="10" s="1"/>
  <c r="AV40" i="10" s="1"/>
  <c r="AW40" i="10" s="1"/>
  <c r="AX40" i="10" s="1"/>
  <c r="L35" i="11"/>
  <c r="M35" i="11" s="1"/>
  <c r="L35" i="10"/>
  <c r="L40" i="4"/>
  <c r="M40" i="4" s="1"/>
  <c r="N40" i="4" s="1"/>
  <c r="O40" i="4" s="1"/>
  <c r="P40" i="4" s="1"/>
  <c r="Q40" i="4" s="1"/>
  <c r="R40" i="4" s="1"/>
  <c r="S40" i="4" s="1"/>
  <c r="T40" i="4" s="1"/>
  <c r="U40" i="4" s="1"/>
  <c r="V40" i="4" s="1"/>
  <c r="W40" i="4" s="1"/>
  <c r="X40" i="4" s="1"/>
  <c r="Y40" i="4" s="1"/>
  <c r="Z40" i="4" s="1"/>
  <c r="AA40" i="4" s="1"/>
  <c r="AB40" i="4" s="1"/>
  <c r="AC40" i="4" s="1"/>
  <c r="AD40" i="4" s="1"/>
  <c r="AE40" i="4" s="1"/>
  <c r="AF40" i="4" s="1"/>
  <c r="AG40" i="4" s="1"/>
  <c r="AH40" i="4" s="1"/>
  <c r="AI40" i="4" s="1"/>
  <c r="AJ40" i="4" s="1"/>
  <c r="AK40" i="4" s="1"/>
  <c r="AL40" i="4" s="1"/>
  <c r="AM40" i="4" s="1"/>
  <c r="AN40" i="4" s="1"/>
  <c r="AO40" i="4" s="1"/>
  <c r="AP40" i="4" s="1"/>
  <c r="AQ40" i="4" s="1"/>
  <c r="AR40" i="4" s="1"/>
  <c r="AS40" i="4" s="1"/>
  <c r="AT40" i="4" s="1"/>
  <c r="AU40" i="4" s="1"/>
  <c r="AV40" i="4" s="1"/>
  <c r="AW40" i="4" s="1"/>
  <c r="AX40" i="4" s="1"/>
  <c r="L17" i="1"/>
  <c r="M17" i="1" s="1"/>
  <c r="N17" i="1" s="1"/>
  <c r="O17" i="1" s="1"/>
  <c r="P17" i="1" s="1"/>
  <c r="Q17" i="1" s="1"/>
  <c r="R17" i="1" s="1"/>
  <c r="S17" i="1" s="1"/>
  <c r="T17" i="1" s="1"/>
  <c r="U17" i="1" s="1"/>
  <c r="V17" i="1" s="1"/>
  <c r="W17" i="1" s="1"/>
  <c r="X17" i="1" s="1"/>
  <c r="Y17" i="1" s="1"/>
  <c r="Z17" i="1" s="1"/>
  <c r="AA17" i="1" s="1"/>
  <c r="AB17" i="1" s="1"/>
  <c r="AC17" i="1" s="1"/>
  <c r="AD17" i="1" s="1"/>
  <c r="AE17" i="1" s="1"/>
  <c r="AF17" i="1" s="1"/>
  <c r="AG17" i="1" s="1"/>
  <c r="AH17" i="1" s="1"/>
  <c r="AI17" i="1" s="1"/>
  <c r="AJ17" i="1" s="1"/>
  <c r="AK17" i="1" s="1"/>
  <c r="AL17" i="1" s="1"/>
  <c r="AM17" i="1" s="1"/>
  <c r="AN17" i="1" s="1"/>
  <c r="AO17" i="1" s="1"/>
  <c r="AP17" i="1" s="1"/>
  <c r="AQ17" i="1" s="1"/>
  <c r="AR17" i="1" s="1"/>
  <c r="AS17" i="1" s="1"/>
  <c r="AT17" i="1" s="1"/>
  <c r="AU17" i="1" s="1"/>
  <c r="AV17" i="1" s="1"/>
  <c r="AW17" i="1" s="1"/>
  <c r="AX17" i="1" s="1"/>
  <c r="L40" i="3"/>
  <c r="M40" i="3" s="1"/>
  <c r="N40" i="3" s="1"/>
  <c r="O40" i="3" s="1"/>
  <c r="P40" i="3" s="1"/>
  <c r="Q40" i="3" s="1"/>
  <c r="R40" i="3" s="1"/>
  <c r="S40" i="3" s="1"/>
  <c r="T40" i="3" s="1"/>
  <c r="U40" i="3" s="1"/>
  <c r="V40" i="3" s="1"/>
  <c r="W40" i="3" s="1"/>
  <c r="X40" i="3" s="1"/>
  <c r="Y40" i="3" s="1"/>
  <c r="Z40" i="3" s="1"/>
  <c r="AA40" i="3" s="1"/>
  <c r="AB40" i="3" s="1"/>
  <c r="AC40" i="3" s="1"/>
  <c r="AD40" i="3" s="1"/>
  <c r="AE40" i="3" s="1"/>
  <c r="AF40" i="3" s="1"/>
  <c r="AG40" i="3" s="1"/>
  <c r="AH40" i="3" s="1"/>
  <c r="AI40" i="3" s="1"/>
  <c r="AJ40" i="3" s="1"/>
  <c r="AK40" i="3" s="1"/>
  <c r="AL40" i="3" s="1"/>
  <c r="AM40" i="3" s="1"/>
  <c r="AN40" i="3" s="1"/>
  <c r="AO40" i="3" s="1"/>
  <c r="AP40" i="3" s="1"/>
  <c r="AQ40" i="3" s="1"/>
  <c r="AR40" i="3" s="1"/>
  <c r="AS40" i="3" s="1"/>
  <c r="AT40" i="3" s="1"/>
  <c r="AU40" i="3" s="1"/>
  <c r="AV40" i="3" s="1"/>
  <c r="AW40" i="3" s="1"/>
  <c r="AX40" i="3" s="1"/>
  <c r="AX34" i="11"/>
  <c r="AW34" i="11"/>
  <c r="AV34" i="11"/>
  <c r="AU34" i="11"/>
  <c r="AT34" i="11"/>
  <c r="AS34" i="11"/>
  <c r="AR34" i="11"/>
  <c r="AQ34" i="11"/>
  <c r="AP34" i="11"/>
  <c r="AO34" i="11"/>
  <c r="AN34" i="11"/>
  <c r="AM34" i="11"/>
  <c r="AL34" i="11"/>
  <c r="AK34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J34" i="11"/>
  <c r="J36" i="11" s="1"/>
  <c r="I34" i="11"/>
  <c r="I36" i="11" s="1"/>
  <c r="H34" i="11"/>
  <c r="H36" i="11" s="1"/>
  <c r="G34" i="11"/>
  <c r="G36" i="11" s="1"/>
  <c r="F34" i="11"/>
  <c r="F36" i="11" s="1"/>
  <c r="E34" i="11"/>
  <c r="E36" i="11" s="1"/>
  <c r="D34" i="11"/>
  <c r="D36" i="11" s="1"/>
  <c r="C34" i="11"/>
  <c r="C36" i="11" s="1"/>
  <c r="C37" i="11" s="1"/>
  <c r="D33" i="11"/>
  <c r="E33" i="11" s="1"/>
  <c r="F33" i="11" s="1"/>
  <c r="G33" i="11" s="1"/>
  <c r="H33" i="11" s="1"/>
  <c r="I33" i="11" s="1"/>
  <c r="J33" i="11" s="1"/>
  <c r="L33" i="11" s="1"/>
  <c r="M33" i="11" s="1"/>
  <c r="N33" i="11" s="1"/>
  <c r="O33" i="11" s="1"/>
  <c r="P33" i="11" s="1"/>
  <c r="Q33" i="11" s="1"/>
  <c r="R33" i="11" s="1"/>
  <c r="S33" i="11" s="1"/>
  <c r="T33" i="11" s="1"/>
  <c r="U33" i="11" s="1"/>
  <c r="V33" i="11" s="1"/>
  <c r="W33" i="11" s="1"/>
  <c r="X33" i="11" s="1"/>
  <c r="Y33" i="11" s="1"/>
  <c r="Z33" i="11" s="1"/>
  <c r="AA33" i="11" s="1"/>
  <c r="AB33" i="11" s="1"/>
  <c r="AC33" i="11" s="1"/>
  <c r="AD33" i="11" s="1"/>
  <c r="AE33" i="11" s="1"/>
  <c r="AF33" i="11" s="1"/>
  <c r="AG33" i="11" s="1"/>
  <c r="AH33" i="11" s="1"/>
  <c r="AI33" i="11" s="1"/>
  <c r="AJ33" i="11" s="1"/>
  <c r="AK33" i="11" s="1"/>
  <c r="AL33" i="11" s="1"/>
  <c r="AM33" i="11" s="1"/>
  <c r="AN33" i="11" s="1"/>
  <c r="AO33" i="11" s="1"/>
  <c r="AP33" i="11" s="1"/>
  <c r="AQ33" i="11" s="1"/>
  <c r="AR33" i="11" s="1"/>
  <c r="AS33" i="11" s="1"/>
  <c r="AT33" i="11" s="1"/>
  <c r="AU33" i="11" s="1"/>
  <c r="AV33" i="11" s="1"/>
  <c r="AW33" i="11" s="1"/>
  <c r="AX33" i="11" s="1"/>
  <c r="D36" i="10"/>
  <c r="E36" i="10"/>
  <c r="F36" i="10"/>
  <c r="G36" i="10"/>
  <c r="H36" i="10"/>
  <c r="I36" i="10"/>
  <c r="J36" i="10"/>
  <c r="C36" i="10"/>
  <c r="J33" i="10"/>
  <c r="L33" i="10"/>
  <c r="AX34" i="10"/>
  <c r="AW34" i="10"/>
  <c r="AV34" i="10"/>
  <c r="AU34" i="10"/>
  <c r="AT34" i="10"/>
  <c r="AS34" i="10"/>
  <c r="AR34" i="10"/>
  <c r="AQ34" i="10"/>
  <c r="AP34" i="10"/>
  <c r="AO34" i="10"/>
  <c r="AN34" i="10"/>
  <c r="AM34" i="10"/>
  <c r="AL34" i="10"/>
  <c r="AK34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J34" i="10"/>
  <c r="I34" i="10"/>
  <c r="H34" i="10"/>
  <c r="G34" i="10"/>
  <c r="F34" i="10"/>
  <c r="E34" i="10"/>
  <c r="D34" i="10"/>
  <c r="C34" i="10"/>
  <c r="D33" i="10"/>
  <c r="E33" i="10" s="1"/>
  <c r="F33" i="10" s="1"/>
  <c r="G33" i="10" s="1"/>
  <c r="H33" i="10" s="1"/>
  <c r="I33" i="10" s="1"/>
  <c r="E16" i="9"/>
  <c r="D15" i="9"/>
  <c r="E15" i="9" s="1"/>
  <c r="F15" i="9" s="1"/>
  <c r="G15" i="9" s="1"/>
  <c r="H15" i="9" s="1"/>
  <c r="I15" i="9" s="1"/>
  <c r="J15" i="9" s="1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J34" i="4"/>
  <c r="J36" i="4" s="1"/>
  <c r="I34" i="4"/>
  <c r="I36" i="4" s="1"/>
  <c r="H34" i="4"/>
  <c r="H36" i="4" s="1"/>
  <c r="G34" i="4"/>
  <c r="G36" i="4" s="1"/>
  <c r="F34" i="4"/>
  <c r="F36" i="4" s="1"/>
  <c r="E34" i="4"/>
  <c r="E36" i="4" s="1"/>
  <c r="D34" i="4"/>
  <c r="D36" i="4" s="1"/>
  <c r="C34" i="4"/>
  <c r="C36" i="4" s="1"/>
  <c r="C37" i="4" s="1"/>
  <c r="D33" i="4"/>
  <c r="E33" i="4" s="1"/>
  <c r="F33" i="4" s="1"/>
  <c r="G33" i="4" s="1"/>
  <c r="H33" i="4" s="1"/>
  <c r="I33" i="4" s="1"/>
  <c r="J33" i="4" s="1"/>
  <c r="L33" i="4" s="1"/>
  <c r="AX34" i="3"/>
  <c r="AW34" i="3"/>
  <c r="AV34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J34" i="3"/>
  <c r="J36" i="3" s="1"/>
  <c r="I34" i="3"/>
  <c r="I36" i="3" s="1"/>
  <c r="H34" i="3"/>
  <c r="H36" i="3" s="1"/>
  <c r="G34" i="3"/>
  <c r="G36" i="3" s="1"/>
  <c r="F34" i="3"/>
  <c r="F36" i="3" s="1"/>
  <c r="E34" i="3"/>
  <c r="E36" i="3" s="1"/>
  <c r="D34" i="3"/>
  <c r="D36" i="3" s="1"/>
  <c r="C34" i="3"/>
  <c r="C36" i="3" s="1"/>
  <c r="D33" i="3"/>
  <c r="E33" i="3" s="1"/>
  <c r="F33" i="3" s="1"/>
  <c r="G33" i="3" s="1"/>
  <c r="H33" i="3" s="1"/>
  <c r="I33" i="3" s="1"/>
  <c r="J33" i="3" s="1"/>
  <c r="L33" i="3" s="1"/>
  <c r="J16" i="1"/>
  <c r="J18" i="1" s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I16" i="1"/>
  <c r="I18" i="1" s="1"/>
  <c r="H16" i="1"/>
  <c r="H18" i="1" s="1"/>
  <c r="G16" i="1"/>
  <c r="G18" i="1" s="1"/>
  <c r="F16" i="1"/>
  <c r="F18" i="1" s="1"/>
  <c r="E16" i="1"/>
  <c r="E18" i="1" s="1"/>
  <c r="D16" i="1"/>
  <c r="D18" i="1" s="1"/>
  <c r="C16" i="1"/>
  <c r="C18" i="1"/>
  <c r="C19" i="1" s="1"/>
  <c r="D19" i="1" s="1"/>
  <c r="D15" i="1"/>
  <c r="E15" i="1" s="1"/>
  <c r="F15" i="1" s="1"/>
  <c r="G15" i="1" s="1"/>
  <c r="H15" i="1" s="1"/>
  <c r="I15" i="1" s="1"/>
  <c r="J15" i="1" s="1"/>
  <c r="L15" i="1" s="1"/>
  <c r="M15" i="1" s="1"/>
  <c r="N15" i="1" s="1"/>
  <c r="O15" i="1" s="1"/>
  <c r="P15" i="1" s="1"/>
  <c r="Q15" i="1" s="1"/>
  <c r="R15" i="1" s="1"/>
  <c r="S15" i="1" s="1"/>
  <c r="T15" i="1" s="1"/>
  <c r="U15" i="1" s="1"/>
  <c r="V15" i="1" s="1"/>
  <c r="W15" i="1" s="1"/>
  <c r="X15" i="1" s="1"/>
  <c r="Y15" i="1" s="1"/>
  <c r="Z15" i="1" s="1"/>
  <c r="AA15" i="1" s="1"/>
  <c r="AB15" i="1" s="1"/>
  <c r="AC15" i="1" s="1"/>
  <c r="AD15" i="1" s="1"/>
  <c r="AE15" i="1" s="1"/>
  <c r="AF15" i="1" s="1"/>
  <c r="AG15" i="1" s="1"/>
  <c r="AH15" i="1" s="1"/>
  <c r="AI15" i="1" s="1"/>
  <c r="AJ15" i="1" s="1"/>
  <c r="AK15" i="1" s="1"/>
  <c r="AL15" i="1" s="1"/>
  <c r="AM15" i="1" s="1"/>
  <c r="AN15" i="1" s="1"/>
  <c r="AO15" i="1" s="1"/>
  <c r="AP15" i="1" s="1"/>
  <c r="AQ15" i="1" s="1"/>
  <c r="AR15" i="1" s="1"/>
  <c r="AS15" i="1" s="1"/>
  <c r="AT15" i="1" s="1"/>
  <c r="AU15" i="1" s="1"/>
  <c r="AV15" i="1" s="1"/>
  <c r="AW15" i="1" s="1"/>
  <c r="AX15" i="1" s="1"/>
  <c r="Y22" i="9" l="1"/>
  <c r="X23" i="9"/>
  <c r="Q23" i="9"/>
  <c r="U23" i="9"/>
  <c r="V23" i="9"/>
  <c r="W23" i="9"/>
  <c r="M23" i="9"/>
  <c r="M24" i="9" s="1"/>
  <c r="N24" i="9" s="1"/>
  <c r="O24" i="9" s="1"/>
  <c r="P24" i="9" s="1"/>
  <c r="Q24" i="9" s="1"/>
  <c r="R24" i="9" s="1"/>
  <c r="S24" i="9" s="1"/>
  <c r="T24" i="9" s="1"/>
  <c r="U24" i="9" s="1"/>
  <c r="V24" i="9" s="1"/>
  <c r="W24" i="9" s="1"/>
  <c r="X24" i="9" s="1"/>
  <c r="N23" i="9"/>
  <c r="R23" i="9"/>
  <c r="S23" i="9"/>
  <c r="T23" i="9"/>
  <c r="M22" i="8"/>
  <c r="N22" i="8" s="1"/>
  <c r="D37" i="11"/>
  <c r="E37" i="11" s="1"/>
  <c r="F37" i="11" s="1"/>
  <c r="G37" i="11" s="1"/>
  <c r="H37" i="11" s="1"/>
  <c r="I37" i="11" s="1"/>
  <c r="J37" i="11" s="1"/>
  <c r="C37" i="10"/>
  <c r="D37" i="10" s="1"/>
  <c r="E37" i="10" s="1"/>
  <c r="L36" i="10"/>
  <c r="M36" i="3"/>
  <c r="N36" i="3"/>
  <c r="N35" i="11"/>
  <c r="M36" i="11"/>
  <c r="L36" i="11"/>
  <c r="M35" i="10"/>
  <c r="AB36" i="4"/>
  <c r="AP36" i="4"/>
  <c r="O36" i="4"/>
  <c r="AQ36" i="4"/>
  <c r="AD36" i="4"/>
  <c r="AR36" i="4"/>
  <c r="Q36" i="4"/>
  <c r="AS36" i="4"/>
  <c r="AF36" i="4"/>
  <c r="AT36" i="4"/>
  <c r="S36" i="4"/>
  <c r="AG36" i="4"/>
  <c r="AU36" i="4"/>
  <c r="AH36" i="4"/>
  <c r="AV36" i="4"/>
  <c r="U36" i="4"/>
  <c r="AI36" i="4"/>
  <c r="AW36" i="4"/>
  <c r="AJ36" i="4"/>
  <c r="AX36" i="4"/>
  <c r="W36" i="4"/>
  <c r="X36" i="4"/>
  <c r="AM36" i="4"/>
  <c r="L36" i="4"/>
  <c r="Z36" i="4"/>
  <c r="AN36" i="4"/>
  <c r="N36" i="4"/>
  <c r="AC36" i="4"/>
  <c r="P36" i="4"/>
  <c r="AE36" i="4"/>
  <c r="R36" i="4"/>
  <c r="T36" i="4"/>
  <c r="V36" i="4"/>
  <c r="AK36" i="4"/>
  <c r="AL36" i="4"/>
  <c r="Y36" i="4"/>
  <c r="M36" i="4"/>
  <c r="AA36" i="4"/>
  <c r="AO36" i="4"/>
  <c r="AX18" i="1"/>
  <c r="AJ18" i="1"/>
  <c r="V18" i="1"/>
  <c r="AW18" i="1"/>
  <c r="AI18" i="1"/>
  <c r="U18" i="1"/>
  <c r="AV18" i="1"/>
  <c r="AH18" i="1"/>
  <c r="T18" i="1"/>
  <c r="AU18" i="1"/>
  <c r="AG18" i="1"/>
  <c r="S18" i="1"/>
  <c r="AT18" i="1"/>
  <c r="AF18" i="1"/>
  <c r="R18" i="1"/>
  <c r="AS18" i="1"/>
  <c r="AE18" i="1"/>
  <c r="Q18" i="1"/>
  <c r="AR18" i="1"/>
  <c r="AD18" i="1"/>
  <c r="P18" i="1"/>
  <c r="AQ18" i="1"/>
  <c r="AC18" i="1"/>
  <c r="O18" i="1"/>
  <c r="AP18" i="1"/>
  <c r="AB18" i="1"/>
  <c r="N18" i="1"/>
  <c r="AO18" i="1"/>
  <c r="AA18" i="1"/>
  <c r="M18" i="1"/>
  <c r="AN18" i="1"/>
  <c r="Z18" i="1"/>
  <c r="L18" i="1"/>
  <c r="AM18" i="1"/>
  <c r="Y18" i="1"/>
  <c r="AL18" i="1"/>
  <c r="X18" i="1"/>
  <c r="AK18" i="1"/>
  <c r="W18" i="1"/>
  <c r="AR36" i="3"/>
  <c r="Q36" i="3"/>
  <c r="R36" i="3"/>
  <c r="S36" i="3"/>
  <c r="AV36" i="3"/>
  <c r="U36" i="3"/>
  <c r="AI36" i="3"/>
  <c r="AW36" i="3"/>
  <c r="V36" i="3"/>
  <c r="AJ36" i="3"/>
  <c r="AX36" i="3"/>
  <c r="W36" i="3"/>
  <c r="AK36" i="3"/>
  <c r="X36" i="3"/>
  <c r="AL36" i="3"/>
  <c r="AS36" i="3"/>
  <c r="Z36" i="3"/>
  <c r="AN36" i="3"/>
  <c r="AE36" i="3"/>
  <c r="AT36" i="3"/>
  <c r="AH36" i="3"/>
  <c r="Y36" i="3"/>
  <c r="AA36" i="3"/>
  <c r="AO36" i="3"/>
  <c r="AD36" i="3"/>
  <c r="AG36" i="3"/>
  <c r="AM36" i="3"/>
  <c r="AB36" i="3"/>
  <c r="AP36" i="3"/>
  <c r="P36" i="3"/>
  <c r="AF36" i="3"/>
  <c r="AU36" i="3"/>
  <c r="T36" i="3"/>
  <c r="O36" i="3"/>
  <c r="AC36" i="3"/>
  <c r="AQ36" i="3"/>
  <c r="L36" i="3"/>
  <c r="M33" i="10"/>
  <c r="N33" i="10" s="1"/>
  <c r="O33" i="10" s="1"/>
  <c r="P33" i="10" s="1"/>
  <c r="Q33" i="10" s="1"/>
  <c r="R33" i="10" s="1"/>
  <c r="S33" i="10" s="1"/>
  <c r="T33" i="10" s="1"/>
  <c r="U33" i="10" s="1"/>
  <c r="V33" i="10" s="1"/>
  <c r="W33" i="10" s="1"/>
  <c r="X33" i="10" s="1"/>
  <c r="Y33" i="10" s="1"/>
  <c r="Z33" i="10" s="1"/>
  <c r="AA33" i="10" s="1"/>
  <c r="AB33" i="10" s="1"/>
  <c r="AC33" i="10" s="1"/>
  <c r="AD33" i="10" s="1"/>
  <c r="AE33" i="10" s="1"/>
  <c r="AF33" i="10" s="1"/>
  <c r="AG33" i="10" s="1"/>
  <c r="AH33" i="10" s="1"/>
  <c r="AI33" i="10" s="1"/>
  <c r="AJ33" i="10" s="1"/>
  <c r="AK33" i="10" s="1"/>
  <c r="AL33" i="10" s="1"/>
  <c r="AM33" i="10" s="1"/>
  <c r="AN33" i="10" s="1"/>
  <c r="AO33" i="10" s="1"/>
  <c r="AP33" i="10" s="1"/>
  <c r="AQ33" i="10" s="1"/>
  <c r="AR33" i="10" s="1"/>
  <c r="AS33" i="10" s="1"/>
  <c r="AT33" i="10" s="1"/>
  <c r="AU33" i="10" s="1"/>
  <c r="AV33" i="10" s="1"/>
  <c r="AW33" i="10" s="1"/>
  <c r="AX33" i="10" s="1"/>
  <c r="M33" i="4"/>
  <c r="N33" i="4" s="1"/>
  <c r="O33" i="4" s="1"/>
  <c r="P33" i="4" s="1"/>
  <c r="Q33" i="4" s="1"/>
  <c r="R33" i="4" s="1"/>
  <c r="S33" i="4" s="1"/>
  <c r="T33" i="4" s="1"/>
  <c r="U33" i="4" s="1"/>
  <c r="V33" i="4" s="1"/>
  <c r="W33" i="4" s="1"/>
  <c r="X33" i="4" s="1"/>
  <c r="Y33" i="4" s="1"/>
  <c r="Z33" i="4" s="1"/>
  <c r="AA33" i="4" s="1"/>
  <c r="AB33" i="4" s="1"/>
  <c r="AC33" i="4" s="1"/>
  <c r="AD33" i="4" s="1"/>
  <c r="AE33" i="4" s="1"/>
  <c r="AF33" i="4" s="1"/>
  <c r="AG33" i="4" s="1"/>
  <c r="AH33" i="4" s="1"/>
  <c r="AI33" i="4" s="1"/>
  <c r="AJ33" i="4" s="1"/>
  <c r="AK33" i="4" s="1"/>
  <c r="AL33" i="4" s="1"/>
  <c r="AM33" i="4" s="1"/>
  <c r="AN33" i="4" s="1"/>
  <c r="AO33" i="4" s="1"/>
  <c r="AP33" i="4" s="1"/>
  <c r="AQ33" i="4" s="1"/>
  <c r="AR33" i="4" s="1"/>
  <c r="AS33" i="4" s="1"/>
  <c r="AT33" i="4" s="1"/>
  <c r="AU33" i="4" s="1"/>
  <c r="AV33" i="4" s="1"/>
  <c r="AW33" i="4" s="1"/>
  <c r="AX33" i="4" s="1"/>
  <c r="M33" i="3"/>
  <c r="N33" i="3" s="1"/>
  <c r="O33" i="3" s="1"/>
  <c r="P33" i="3" s="1"/>
  <c r="Q33" i="3" s="1"/>
  <c r="R33" i="3" s="1"/>
  <c r="S33" i="3" s="1"/>
  <c r="T33" i="3" s="1"/>
  <c r="U33" i="3" s="1"/>
  <c r="V33" i="3" s="1"/>
  <c r="W33" i="3" s="1"/>
  <c r="X33" i="3" s="1"/>
  <c r="Y33" i="3" s="1"/>
  <c r="Z33" i="3" s="1"/>
  <c r="AA33" i="3" s="1"/>
  <c r="AB33" i="3" s="1"/>
  <c r="AC33" i="3" s="1"/>
  <c r="AD33" i="3" s="1"/>
  <c r="AE33" i="3" s="1"/>
  <c r="AF33" i="3" s="1"/>
  <c r="AG33" i="3" s="1"/>
  <c r="AH33" i="3" s="1"/>
  <c r="AI33" i="3" s="1"/>
  <c r="AJ33" i="3" s="1"/>
  <c r="AK33" i="3" s="1"/>
  <c r="AL33" i="3" s="1"/>
  <c r="AM33" i="3" s="1"/>
  <c r="AN33" i="3" s="1"/>
  <c r="AO33" i="3" s="1"/>
  <c r="AP33" i="3" s="1"/>
  <c r="AQ33" i="3" s="1"/>
  <c r="AR33" i="3" s="1"/>
  <c r="AS33" i="3" s="1"/>
  <c r="AT33" i="3" s="1"/>
  <c r="AU33" i="3" s="1"/>
  <c r="AV33" i="3" s="1"/>
  <c r="AW33" i="3" s="1"/>
  <c r="AX33" i="3" s="1"/>
  <c r="F37" i="10"/>
  <c r="G37" i="10" s="1"/>
  <c r="H37" i="10" s="1"/>
  <c r="I37" i="10" s="1"/>
  <c r="J37" i="10" s="1"/>
  <c r="L37" i="10" s="1"/>
  <c r="D37" i="4"/>
  <c r="E37" i="4" s="1"/>
  <c r="F37" i="4" s="1"/>
  <c r="G37" i="4" s="1"/>
  <c r="H37" i="4" s="1"/>
  <c r="I37" i="4" s="1"/>
  <c r="J37" i="4" s="1"/>
  <c r="C37" i="3"/>
  <c r="D37" i="3" s="1"/>
  <c r="E37" i="3" s="1"/>
  <c r="F37" i="3" s="1"/>
  <c r="G37" i="3" s="1"/>
  <c r="H37" i="3" s="1"/>
  <c r="I37" i="3" s="1"/>
  <c r="J37" i="3" s="1"/>
  <c r="E19" i="1"/>
  <c r="F19" i="1" s="1"/>
  <c r="G19" i="1" s="1"/>
  <c r="H19" i="1" s="1"/>
  <c r="I19" i="1" s="1"/>
  <c r="J19" i="1" s="1"/>
  <c r="Y23" i="9" l="1"/>
  <c r="Y24" i="9" s="1"/>
  <c r="Z22" i="9"/>
  <c r="O22" i="8"/>
  <c r="N23" i="8"/>
  <c r="M23" i="8"/>
  <c r="M24" i="8" s="1"/>
  <c r="N24" i="8" s="1"/>
  <c r="L37" i="4"/>
  <c r="M37" i="4" s="1"/>
  <c r="N37" i="4" s="1"/>
  <c r="O37" i="4" s="1"/>
  <c r="P37" i="4" s="1"/>
  <c r="Q37" i="4" s="1"/>
  <c r="R37" i="4" s="1"/>
  <c r="S37" i="4" s="1"/>
  <c r="T37" i="4" s="1"/>
  <c r="U37" i="4" s="1"/>
  <c r="V37" i="4" s="1"/>
  <c r="W37" i="4" s="1"/>
  <c r="X37" i="4" s="1"/>
  <c r="Y37" i="4" s="1"/>
  <c r="Z37" i="4" s="1"/>
  <c r="AA37" i="4" s="1"/>
  <c r="AB37" i="4" s="1"/>
  <c r="AC37" i="4" s="1"/>
  <c r="AD37" i="4" s="1"/>
  <c r="AE37" i="4" s="1"/>
  <c r="AF37" i="4" s="1"/>
  <c r="AG37" i="4" s="1"/>
  <c r="AH37" i="4" s="1"/>
  <c r="AI37" i="4" s="1"/>
  <c r="AJ37" i="4" s="1"/>
  <c r="AK37" i="4" s="1"/>
  <c r="AL37" i="4" s="1"/>
  <c r="AM37" i="4" s="1"/>
  <c r="AN37" i="4" s="1"/>
  <c r="AO37" i="4" s="1"/>
  <c r="AP37" i="4" s="1"/>
  <c r="AQ37" i="4" s="1"/>
  <c r="AR37" i="4" s="1"/>
  <c r="AS37" i="4" s="1"/>
  <c r="AT37" i="4" s="1"/>
  <c r="AU37" i="4" s="1"/>
  <c r="AV37" i="4" s="1"/>
  <c r="AW37" i="4" s="1"/>
  <c r="AX37" i="4" s="1"/>
  <c r="L37" i="11"/>
  <c r="M37" i="11" s="1"/>
  <c r="O35" i="11"/>
  <c r="N36" i="11"/>
  <c r="N35" i="10"/>
  <c r="M36" i="10"/>
  <c r="M37" i="10" s="1"/>
  <c r="L19" i="1"/>
  <c r="M19" i="1" s="1"/>
  <c r="N19" i="1" s="1"/>
  <c r="O19" i="1" s="1"/>
  <c r="P19" i="1" s="1"/>
  <c r="Q19" i="1" s="1"/>
  <c r="R19" i="1" s="1"/>
  <c r="S19" i="1" s="1"/>
  <c r="T19" i="1" s="1"/>
  <c r="U19" i="1" s="1"/>
  <c r="V19" i="1" s="1"/>
  <c r="W19" i="1" s="1"/>
  <c r="X19" i="1" s="1"/>
  <c r="Y19" i="1" s="1"/>
  <c r="Z19" i="1" s="1"/>
  <c r="AA19" i="1" s="1"/>
  <c r="AB19" i="1" s="1"/>
  <c r="AC19" i="1" s="1"/>
  <c r="AD19" i="1" s="1"/>
  <c r="AE19" i="1" s="1"/>
  <c r="AF19" i="1" s="1"/>
  <c r="AG19" i="1" s="1"/>
  <c r="AH19" i="1" s="1"/>
  <c r="AI19" i="1" s="1"/>
  <c r="AJ19" i="1" s="1"/>
  <c r="AK19" i="1" s="1"/>
  <c r="AL19" i="1" s="1"/>
  <c r="AM19" i="1" s="1"/>
  <c r="AN19" i="1" s="1"/>
  <c r="AO19" i="1" s="1"/>
  <c r="AP19" i="1" s="1"/>
  <c r="AQ19" i="1" s="1"/>
  <c r="AR19" i="1" s="1"/>
  <c r="AS19" i="1" s="1"/>
  <c r="AT19" i="1" s="1"/>
  <c r="AU19" i="1" s="1"/>
  <c r="AV19" i="1" s="1"/>
  <c r="AW19" i="1" s="1"/>
  <c r="AX19" i="1" s="1"/>
  <c r="L37" i="3"/>
  <c r="M37" i="3" s="1"/>
  <c r="N37" i="3" s="1"/>
  <c r="O37" i="3" s="1"/>
  <c r="P37" i="3" s="1"/>
  <c r="Q37" i="3" s="1"/>
  <c r="R37" i="3" s="1"/>
  <c r="S37" i="3" s="1"/>
  <c r="T37" i="3" s="1"/>
  <c r="U37" i="3" s="1"/>
  <c r="V37" i="3" s="1"/>
  <c r="W37" i="3" s="1"/>
  <c r="X37" i="3" s="1"/>
  <c r="Y37" i="3" s="1"/>
  <c r="Z37" i="3" s="1"/>
  <c r="AA37" i="3" s="1"/>
  <c r="AB37" i="3" s="1"/>
  <c r="AC37" i="3" s="1"/>
  <c r="AD37" i="3" s="1"/>
  <c r="AE37" i="3" s="1"/>
  <c r="AF37" i="3" s="1"/>
  <c r="AG37" i="3" s="1"/>
  <c r="AH37" i="3" s="1"/>
  <c r="AI37" i="3" s="1"/>
  <c r="AJ37" i="3" s="1"/>
  <c r="AK37" i="3" s="1"/>
  <c r="AL37" i="3" s="1"/>
  <c r="AM37" i="3" s="1"/>
  <c r="AN37" i="3" s="1"/>
  <c r="AO37" i="3" s="1"/>
  <c r="AP37" i="3" s="1"/>
  <c r="AQ37" i="3" s="1"/>
  <c r="AR37" i="3" s="1"/>
  <c r="AS37" i="3" s="1"/>
  <c r="AT37" i="3" s="1"/>
  <c r="AU37" i="3" s="1"/>
  <c r="AV37" i="3" s="1"/>
  <c r="AW37" i="3" s="1"/>
  <c r="AX37" i="3" s="1"/>
  <c r="AA22" i="9" l="1"/>
  <c r="Z23" i="9"/>
  <c r="Z24" i="9" s="1"/>
  <c r="P22" i="8"/>
  <c r="O23" i="8"/>
  <c r="O24" i="8" s="1"/>
  <c r="N37" i="11"/>
  <c r="O36" i="11"/>
  <c r="P35" i="11"/>
  <c r="O35" i="10"/>
  <c r="N36" i="10"/>
  <c r="N37" i="10"/>
  <c r="AB22" i="9" l="1"/>
  <c r="AA23" i="9"/>
  <c r="AA24" i="9" s="1"/>
  <c r="Q22" i="8"/>
  <c r="P23" i="8"/>
  <c r="P24" i="8" s="1"/>
  <c r="O37" i="11"/>
  <c r="P36" i="11"/>
  <c r="Q35" i="11"/>
  <c r="P35" i="10"/>
  <c r="O36" i="10"/>
  <c r="O37" i="10" s="1"/>
  <c r="AC22" i="9" l="1"/>
  <c r="AB23" i="9"/>
  <c r="AB24" i="9" s="1"/>
  <c r="R22" i="8"/>
  <c r="Q23" i="8"/>
  <c r="Q24" i="8" s="1"/>
  <c r="P37" i="11"/>
  <c r="R35" i="11"/>
  <c r="Q36" i="11"/>
  <c r="Q35" i="10"/>
  <c r="P36" i="10"/>
  <c r="P37" i="10" s="1"/>
  <c r="AD22" i="9" l="1"/>
  <c r="AC23" i="9"/>
  <c r="AC24" i="9" s="1"/>
  <c r="S22" i="8"/>
  <c r="R23" i="8"/>
  <c r="R24" i="8" s="1"/>
  <c r="Q37" i="11"/>
  <c r="S35" i="11"/>
  <c r="R36" i="11"/>
  <c r="R35" i="10"/>
  <c r="Q36" i="10"/>
  <c r="Q37" i="10" s="1"/>
  <c r="AE22" i="9" l="1"/>
  <c r="AD23" i="9"/>
  <c r="AD24" i="9" s="1"/>
  <c r="S24" i="8"/>
  <c r="T22" i="8"/>
  <c r="S23" i="8"/>
  <c r="R37" i="11"/>
  <c r="T35" i="11"/>
  <c r="S36" i="11"/>
  <c r="R36" i="10"/>
  <c r="R37" i="10" s="1"/>
  <c r="S35" i="10"/>
  <c r="AF22" i="9" l="1"/>
  <c r="AE23" i="9"/>
  <c r="AE24" i="9" s="1"/>
  <c r="T24" i="8"/>
  <c r="U22" i="8"/>
  <c r="T23" i="8"/>
  <c r="S37" i="11"/>
  <c r="U35" i="11"/>
  <c r="T36" i="11"/>
  <c r="S36" i="10"/>
  <c r="S37" i="10" s="1"/>
  <c r="T35" i="10"/>
  <c r="AG22" i="9" l="1"/>
  <c r="AF23" i="9"/>
  <c r="AF24" i="9" s="1"/>
  <c r="V22" i="8"/>
  <c r="U23" i="8"/>
  <c r="U24" i="8"/>
  <c r="T37" i="11"/>
  <c r="V35" i="11"/>
  <c r="U36" i="11"/>
  <c r="U35" i="10"/>
  <c r="T36" i="10"/>
  <c r="T37" i="10" s="1"/>
  <c r="AH22" i="9" l="1"/>
  <c r="AG23" i="9"/>
  <c r="AG24" i="9" s="1"/>
  <c r="W22" i="8"/>
  <c r="V23" i="8"/>
  <c r="V24" i="8" s="1"/>
  <c r="U37" i="11"/>
  <c r="W35" i="11"/>
  <c r="V36" i="11"/>
  <c r="V35" i="10"/>
  <c r="U36" i="10"/>
  <c r="U37" i="10" s="1"/>
  <c r="AI22" i="9" l="1"/>
  <c r="AH23" i="9"/>
  <c r="AH24" i="9" s="1"/>
  <c r="W24" i="8"/>
  <c r="X22" i="8"/>
  <c r="W23" i="8"/>
  <c r="V37" i="11"/>
  <c r="X35" i="11"/>
  <c r="W36" i="11"/>
  <c r="V36" i="10"/>
  <c r="V37" i="10" s="1"/>
  <c r="W35" i="10"/>
  <c r="AJ22" i="9" l="1"/>
  <c r="AI23" i="9"/>
  <c r="AI24" i="9" s="1"/>
  <c r="Y22" i="8"/>
  <c r="X23" i="8"/>
  <c r="X24" i="8" s="1"/>
  <c r="W37" i="11"/>
  <c r="Y35" i="11"/>
  <c r="X36" i="11"/>
  <c r="W36" i="10"/>
  <c r="W37" i="10" s="1"/>
  <c r="X35" i="10"/>
  <c r="AK22" i="9" l="1"/>
  <c r="AJ23" i="9"/>
  <c r="AJ24" i="9" s="1"/>
  <c r="Y23" i="8"/>
  <c r="Y24" i="8" s="1"/>
  <c r="Z22" i="8"/>
  <c r="X37" i="11"/>
  <c r="Z35" i="11"/>
  <c r="Y36" i="11"/>
  <c r="X36" i="10"/>
  <c r="X37" i="10" s="1"/>
  <c r="Y35" i="10"/>
  <c r="AL22" i="9" l="1"/>
  <c r="AK23" i="9"/>
  <c r="AK24" i="9" s="1"/>
  <c r="Z23" i="8"/>
  <c r="Z24" i="8" s="1"/>
  <c r="AA22" i="8"/>
  <c r="Y37" i="11"/>
  <c r="AA35" i="11"/>
  <c r="Z36" i="11"/>
  <c r="Y36" i="10"/>
  <c r="Y37" i="10" s="1"/>
  <c r="Z35" i="10"/>
  <c r="AM22" i="9" l="1"/>
  <c r="AL23" i="9"/>
  <c r="AL24" i="9" s="1"/>
  <c r="AA24" i="8"/>
  <c r="AB22" i="8"/>
  <c r="AA23" i="8"/>
  <c r="Z37" i="11"/>
  <c r="AA36" i="11"/>
  <c r="AB35" i="11"/>
  <c r="AA35" i="10"/>
  <c r="Z36" i="10"/>
  <c r="Z37" i="10" s="1"/>
  <c r="AM23" i="9" l="1"/>
  <c r="AM24" i="9" s="1"/>
  <c r="AN22" i="9"/>
  <c r="AB24" i="8"/>
  <c r="AC22" i="8"/>
  <c r="AB23" i="8"/>
  <c r="AA37" i="11"/>
  <c r="AC35" i="11"/>
  <c r="AB36" i="11"/>
  <c r="AA36" i="10"/>
  <c r="AA37" i="10" s="1"/>
  <c r="AB35" i="10"/>
  <c r="AO22" i="9" l="1"/>
  <c r="AN23" i="9"/>
  <c r="AN24" i="9" s="1"/>
  <c r="AD22" i="8"/>
  <c r="AC23" i="8"/>
  <c r="AC24" i="8" s="1"/>
  <c r="AB37" i="11"/>
  <c r="AD35" i="11"/>
  <c r="AC36" i="11"/>
  <c r="AB36" i="10"/>
  <c r="AB37" i="10" s="1"/>
  <c r="AC35" i="10"/>
  <c r="AP22" i="9" l="1"/>
  <c r="AO23" i="9"/>
  <c r="AO24" i="9" s="1"/>
  <c r="AD24" i="8"/>
  <c r="AE22" i="8"/>
  <c r="AD23" i="8"/>
  <c r="AC37" i="11"/>
  <c r="AE35" i="11"/>
  <c r="AD36" i="11"/>
  <c r="AC36" i="10"/>
  <c r="AC37" i="10" s="1"/>
  <c r="AD35" i="10"/>
  <c r="AQ22" i="9" l="1"/>
  <c r="AP23" i="9"/>
  <c r="AP24" i="9" s="1"/>
  <c r="AF22" i="8"/>
  <c r="AE23" i="8"/>
  <c r="AE24" i="8" s="1"/>
  <c r="AD37" i="11"/>
  <c r="AF35" i="11"/>
  <c r="AE36" i="11"/>
  <c r="AE35" i="10"/>
  <c r="AD36" i="10"/>
  <c r="AD37" i="10" s="1"/>
  <c r="AR22" i="9" l="1"/>
  <c r="AQ23" i="9"/>
  <c r="AQ24" i="9" s="1"/>
  <c r="AG22" i="8"/>
  <c r="AF23" i="8"/>
  <c r="AF24" i="8" s="1"/>
  <c r="AE37" i="11"/>
  <c r="AG35" i="11"/>
  <c r="AF36" i="11"/>
  <c r="AF37" i="11" s="1"/>
  <c r="AF35" i="10"/>
  <c r="AE36" i="10"/>
  <c r="AE37" i="10" s="1"/>
  <c r="AS22" i="9" l="1"/>
  <c r="AR23" i="9"/>
  <c r="AR24" i="9" s="1"/>
  <c r="AH22" i="8"/>
  <c r="AG23" i="8"/>
  <c r="AG24" i="8" s="1"/>
  <c r="AH35" i="11"/>
  <c r="AG36" i="11"/>
  <c r="AG37" i="11" s="1"/>
  <c r="AF36" i="10"/>
  <c r="AF37" i="10" s="1"/>
  <c r="AG35" i="10"/>
  <c r="AT22" i="9" l="1"/>
  <c r="AS23" i="9"/>
  <c r="AS24" i="9" s="1"/>
  <c r="AI22" i="8"/>
  <c r="AH23" i="8"/>
  <c r="AH24" i="8" s="1"/>
  <c r="AI35" i="11"/>
  <c r="AH36" i="11"/>
  <c r="AH37" i="11" s="1"/>
  <c r="AG36" i="10"/>
  <c r="AG37" i="10" s="1"/>
  <c r="AH35" i="10"/>
  <c r="AU22" i="9" l="1"/>
  <c r="AT23" i="9"/>
  <c r="AT24" i="9" s="1"/>
  <c r="AJ22" i="8"/>
  <c r="AI23" i="8"/>
  <c r="AI24" i="8" s="1"/>
  <c r="AJ35" i="11"/>
  <c r="AI36" i="11"/>
  <c r="AI37" i="11" s="1"/>
  <c r="AI35" i="10"/>
  <c r="AH36" i="10"/>
  <c r="AH37" i="10" s="1"/>
  <c r="AV22" i="9" l="1"/>
  <c r="AU23" i="9"/>
  <c r="AU24" i="9" s="1"/>
  <c r="AK22" i="8"/>
  <c r="AJ23" i="8"/>
  <c r="AJ24" i="8" s="1"/>
  <c r="AK35" i="11"/>
  <c r="AJ36" i="11"/>
  <c r="AJ37" i="11" s="1"/>
  <c r="AJ35" i="10"/>
  <c r="AI36" i="10"/>
  <c r="AI37" i="10" s="1"/>
  <c r="AW22" i="9" l="1"/>
  <c r="AV23" i="9"/>
  <c r="AV24" i="9" s="1"/>
  <c r="AK24" i="8"/>
  <c r="AL22" i="8"/>
  <c r="AK23" i="8"/>
  <c r="AL35" i="11"/>
  <c r="AK36" i="11"/>
  <c r="AK37" i="11" s="1"/>
  <c r="AJ36" i="10"/>
  <c r="AJ37" i="10" s="1"/>
  <c r="AK35" i="10"/>
  <c r="AX22" i="9" l="1"/>
  <c r="AX23" i="9" s="1"/>
  <c r="AW23" i="9"/>
  <c r="AW24" i="9" s="1"/>
  <c r="AX24" i="9" s="1"/>
  <c r="AM22" i="8"/>
  <c r="AL23" i="8"/>
  <c r="AL24" i="8" s="1"/>
  <c r="AM35" i="11"/>
  <c r="AL36" i="11"/>
  <c r="AL37" i="11" s="1"/>
  <c r="AK36" i="10"/>
  <c r="AK37" i="10" s="1"/>
  <c r="AL35" i="10"/>
  <c r="AM24" i="8" l="1"/>
  <c r="AM23" i="8"/>
  <c r="AN22" i="8"/>
  <c r="AN35" i="11"/>
  <c r="AM36" i="11"/>
  <c r="AM37" i="11" s="1"/>
  <c r="AL36" i="10"/>
  <c r="AL37" i="10" s="1"/>
  <c r="AM35" i="10"/>
  <c r="AN23" i="8" l="1"/>
  <c r="AN24" i="8" s="1"/>
  <c r="AO22" i="8"/>
  <c r="AO35" i="11"/>
  <c r="AN36" i="11"/>
  <c r="AN37" i="11" s="1"/>
  <c r="AM36" i="10"/>
  <c r="AM37" i="10" s="1"/>
  <c r="AN35" i="10"/>
  <c r="AO24" i="8" l="1"/>
  <c r="AP22" i="8"/>
  <c r="AO23" i="8"/>
  <c r="AP35" i="11"/>
  <c r="AO36" i="11"/>
  <c r="AO37" i="11" s="1"/>
  <c r="AN36" i="10"/>
  <c r="AN37" i="10" s="1"/>
  <c r="AO35" i="10"/>
  <c r="AQ22" i="8" l="1"/>
  <c r="AP23" i="8"/>
  <c r="AP24" i="8" s="1"/>
  <c r="AP36" i="11"/>
  <c r="AP37" i="11" s="1"/>
  <c r="AQ35" i="11"/>
  <c r="AP35" i="10"/>
  <c r="AO36" i="10"/>
  <c r="AO37" i="10" s="1"/>
  <c r="AQ24" i="8" l="1"/>
  <c r="AR22" i="8"/>
  <c r="AQ23" i="8"/>
  <c r="AQ36" i="11"/>
  <c r="AQ37" i="11" s="1"/>
  <c r="AR35" i="11"/>
  <c r="AQ35" i="10"/>
  <c r="AP36" i="10"/>
  <c r="AP37" i="10" s="1"/>
  <c r="AR24" i="8" l="1"/>
  <c r="AS22" i="8"/>
  <c r="AR23" i="8"/>
  <c r="AR36" i="11"/>
  <c r="AR37" i="11" s="1"/>
  <c r="AS35" i="11"/>
  <c r="AR35" i="10"/>
  <c r="AQ36" i="10"/>
  <c r="AQ37" i="10" s="1"/>
  <c r="AT22" i="8" l="1"/>
  <c r="AS23" i="8"/>
  <c r="AS24" i="8"/>
  <c r="AS36" i="11"/>
  <c r="AS37" i="11" s="1"/>
  <c r="AT35" i="11"/>
  <c r="AS35" i="10"/>
  <c r="AR36" i="10"/>
  <c r="AR37" i="10" s="1"/>
  <c r="AU22" i="8" l="1"/>
  <c r="AT23" i="8"/>
  <c r="AT24" i="8" s="1"/>
  <c r="AU35" i="11"/>
  <c r="AT36" i="11"/>
  <c r="AT37" i="11" s="1"/>
  <c r="AT35" i="10"/>
  <c r="AS36" i="10"/>
  <c r="AS37" i="10" s="1"/>
  <c r="AV22" i="8" l="1"/>
  <c r="AU23" i="8"/>
  <c r="AU24" i="8" s="1"/>
  <c r="AV35" i="11"/>
  <c r="AU36" i="11"/>
  <c r="AU37" i="11" s="1"/>
  <c r="AU35" i="10"/>
  <c r="AT36" i="10"/>
  <c r="AT37" i="10" s="1"/>
  <c r="AW22" i="8" l="1"/>
  <c r="AV23" i="8"/>
  <c r="AV24" i="8" s="1"/>
  <c r="AW35" i="11"/>
  <c r="AV36" i="11"/>
  <c r="AV37" i="11" s="1"/>
  <c r="AU36" i="10"/>
  <c r="AU37" i="10" s="1"/>
  <c r="AV35" i="10"/>
  <c r="AX22" i="8" l="1"/>
  <c r="AX23" i="8" s="1"/>
  <c r="AW23" i="8"/>
  <c r="AW24" i="8" s="1"/>
  <c r="AX24" i="8" s="1"/>
  <c r="AX35" i="11"/>
  <c r="AX36" i="11" s="1"/>
  <c r="AW36" i="11"/>
  <c r="AW37" i="11" s="1"/>
  <c r="AX37" i="11" s="1"/>
  <c r="AW35" i="10"/>
  <c r="AV36" i="10"/>
  <c r="AV37" i="10" s="1"/>
  <c r="AX35" i="10" l="1"/>
  <c r="AX36" i="10" s="1"/>
  <c r="AW36" i="10"/>
  <c r="AW37" i="10" s="1"/>
  <c r="AX37" i="10" l="1"/>
</calcChain>
</file>

<file path=xl/sharedStrings.xml><?xml version="1.0" encoding="utf-8"?>
<sst xmlns="http://schemas.openxmlformats.org/spreadsheetml/2006/main" count="158" uniqueCount="37">
  <si>
    <t>Income that year</t>
  </si>
  <si>
    <t>Spending that year</t>
  </si>
  <si>
    <t>Savings that year</t>
  </si>
  <si>
    <t>Work Life (income = salary)</t>
  </si>
  <si>
    <t>Retirement (income = pension)</t>
  </si>
  <si>
    <t>Age</t>
  </si>
  <si>
    <t>Interest Rate:</t>
  </si>
  <si>
    <t>Salary:</t>
  </si>
  <si>
    <t>Pension:</t>
  </si>
  <si>
    <t>Initial Wealth:</t>
  </si>
  <si>
    <t xml:space="preserve">Note: </t>
  </si>
  <si>
    <t xml:space="preserve">Green boxes are input for participant of study (consumption stream), orange boxes essential inputs by researcher (before the scenario), rest is derived. </t>
  </si>
  <si>
    <t>Inheritance</t>
  </si>
  <si>
    <t>Inheritance:</t>
  </si>
  <si>
    <t>Total Savings</t>
  </si>
  <si>
    <t>Work Life</t>
  </si>
  <si>
    <t>Retirement</t>
  </si>
  <si>
    <t>Assumptions (not shown to participants):</t>
  </si>
  <si>
    <t>Note:</t>
  </si>
  <si>
    <t>Instructions:</t>
  </si>
  <si>
    <r>
      <t xml:space="preserve">Imagine you are faced with a scenario, where [INHERITANCE NOW] </t>
    </r>
    <r>
      <rPr>
        <b/>
        <sz val="11"/>
        <color theme="1"/>
        <rFont val="Aptos Narrow"/>
        <family val="2"/>
        <scheme val="minor"/>
      </rPr>
      <t>Please enter how this would change your spending plans for each of the coming 8 years.</t>
    </r>
  </si>
  <si>
    <r>
      <t xml:space="preserve">Imagine you are faced with a scenario, where [INHERITANCE FUTURE] </t>
    </r>
    <r>
      <rPr>
        <b/>
        <sz val="11"/>
        <color theme="1"/>
        <rFont val="Aptos Narrow"/>
        <family val="2"/>
        <scheme val="minor"/>
      </rPr>
      <t>Please enter how this would change your spending plans for each of the coming 8 years.</t>
    </r>
  </si>
  <si>
    <t>Reminder: Initial Financial Plan</t>
  </si>
  <si>
    <t>!!! Columns for ages 71 and above are not shown to participant</t>
  </si>
  <si>
    <t>- If you keep your spending constant after age 70, your overall savings will be used up by age 93.</t>
  </si>
  <si>
    <t>- If you pass on at age 90, you will leave a bequest of £27.896.49</t>
  </si>
  <si>
    <t>- If you keep your spending constant after age 70, your overall savings will be used up by age 93.
- If you pass on at age 90, you will leave a bequest of £29,714.64.</t>
  </si>
  <si>
    <t>- If you keep your spending constant after age 70, your overall savings will be used up by age 93.
- If you pass on at age 90, you will leave a bequest of £36,090.19.</t>
  </si>
  <si>
    <t>- If you keep your spending constant after age 70, your overall savings will be used up by age 94.
- If you pass on at age 90, you will leave a bequest of £30,123.50.</t>
  </si>
  <si>
    <t>- If you keep your spending constant after age 70, your overall savings will be used up by age 94.
- If you pass on at age 90, you will leave a bequest of £29,519.85.</t>
  </si>
  <si>
    <t>Change in spending that year as a reaction</t>
  </si>
  <si>
    <t>Spending that year from initial plan</t>
  </si>
  <si>
    <t xml:space="preserve">Imagine you are a 62-year old, who has made the following financial plans for the next 8 years. </t>
  </si>
  <si>
    <r>
      <t xml:space="preserve">Imagine you are faced with a scenario, where [INHERITANCE NOW] </t>
    </r>
    <r>
      <rPr>
        <b/>
        <sz val="11"/>
        <color theme="1"/>
        <rFont val="Aptos Narrow"/>
        <family val="2"/>
        <scheme val="minor"/>
      </rPr>
      <t>Please enter your plan for spending, considering the scenario.</t>
    </r>
  </si>
  <si>
    <r>
      <t xml:space="preserve">Imagine you are faced with a scenario, where [INHERITANCE FUTURE] </t>
    </r>
    <r>
      <rPr>
        <b/>
        <sz val="11"/>
        <color theme="1"/>
        <rFont val="Aptos Narrow"/>
        <family val="2"/>
        <scheme val="minor"/>
      </rPr>
      <t>Please enter your plan for spending, considering the scenario.</t>
    </r>
  </si>
  <si>
    <r>
      <t xml:space="preserve">Imagine you are faced with a scenario, where [INHERITANCE NOW] </t>
    </r>
    <r>
      <rPr>
        <b/>
        <sz val="11"/>
        <color theme="1"/>
        <rFont val="Aptos Narrow"/>
        <family val="2"/>
        <scheme val="minor"/>
      </rPr>
      <t>Please enter your plan for changes in spending, considering the scenario.</t>
    </r>
  </si>
  <si>
    <t>Updated spending that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</si>
</sst>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[$£-809]* #,##0.00_-;\-[$£-809]* #,##0.00_-;_-[$£-809]* &quot;-&quot;??_-;_-@_-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164" fontId="0" fillId="0" borderId="0" xfId="1" applyNumberFormat="1" applyFont="1"/>
    <xf numFmtId="164" fontId="0" fillId="2" borderId="0" xfId="0" applyNumberFormat="1" applyFill="1"/>
    <xf numFmtId="164" fontId="0" fillId="4" borderId="0" xfId="0" applyNumberFormat="1" applyFill="1"/>
    <xf numFmtId="10" fontId="0" fillId="4" borderId="0" xfId="0" applyNumberFormat="1" applyFill="1"/>
    <xf numFmtId="164" fontId="0" fillId="3" borderId="0" xfId="0" applyNumberFormat="1" applyFill="1"/>
    <xf numFmtId="164" fontId="1" fillId="0" borderId="0" xfId="0" applyNumberFormat="1" applyFont="1"/>
    <xf numFmtId="0" fontId="1" fillId="0" borderId="0" xfId="0" quotePrefix="1" applyFont="1"/>
    <xf numFmtId="0" fontId="0" fillId="0" borderId="0" xfId="0" quotePrefix="1" applyAlignment="1">
      <alignment horizontal="right"/>
    </xf>
    <xf numFmtId="0" fontId="0" fillId="0" borderId="10" xfId="0" applyBorder="1" applyAlignment="1">
      <alignment horizontal="right"/>
    </xf>
    <xf numFmtId="10" fontId="0" fillId="0" borderId="10" xfId="0" applyNumberFormat="1" applyBorder="1"/>
    <xf numFmtId="0" fontId="0" fillId="0" borderId="10" xfId="0" applyBorder="1"/>
    <xf numFmtId="0" fontId="0" fillId="0" borderId="0" xfId="0" quotePrefix="1" applyAlignment="1">
      <alignment horizontal="left"/>
    </xf>
    <xf numFmtId="10" fontId="0" fillId="0" borderId="0" xfId="0" applyNumberFormat="1"/>
    <xf numFmtId="0" fontId="0" fillId="0" borderId="0" xfId="0" quotePrefix="1"/>
    <xf numFmtId="0" fontId="2" fillId="0" borderId="0" xfId="0" applyFont="1" applyAlignment="1">
      <alignment horizontal="center" vertical="center" wrapText="1"/>
    </xf>
    <xf numFmtId="0" fontId="4" fillId="0" borderId="2" xfId="0" quotePrefix="1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164" fontId="0" fillId="5" borderId="0" xfId="0" applyNumberFormat="1" applyFill="1"/>
    <xf numFmtId="0" fontId="1" fillId="0" borderId="2" xfId="0" applyFont="1" applyBorder="1" applyAlignment="1">
      <alignment horizontal="right"/>
    </xf>
    <xf numFmtId="10" fontId="0" fillId="0" borderId="3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0" xfId="0" applyBorder="1"/>
    <xf numFmtId="0" fontId="0" fillId="0" borderId="6" xfId="0" applyBorder="1"/>
    <xf numFmtId="0" fontId="1" fillId="0" borderId="5" xfId="0" applyFont="1" applyBorder="1" applyAlignment="1">
      <alignment horizontal="right"/>
    </xf>
    <xf numFmtId="0" fontId="2" fillId="0" borderId="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0" fillId="0" borderId="0" xfId="0" applyNumberFormat="1" applyBorder="1"/>
    <xf numFmtId="164" fontId="0" fillId="0" borderId="6" xfId="0" applyNumberFormat="1" applyBorder="1"/>
    <xf numFmtId="164" fontId="0" fillId="2" borderId="0" xfId="0" applyNumberFormat="1" applyFill="1" applyBorder="1"/>
    <xf numFmtId="164" fontId="0" fillId="2" borderId="6" xfId="0" applyNumberFormat="1" applyFill="1" applyBorder="1"/>
    <xf numFmtId="164" fontId="0" fillId="0" borderId="0" xfId="1" applyNumberFormat="1" applyFont="1" applyBorder="1"/>
    <xf numFmtId="164" fontId="1" fillId="0" borderId="6" xfId="0" applyNumberFormat="1" applyFont="1" applyBorder="1"/>
    <xf numFmtId="0" fontId="0" fillId="0" borderId="0" xfId="0" quotePrefix="1" applyBorder="1" applyAlignment="1">
      <alignment horizontal="left"/>
    </xf>
    <xf numFmtId="0" fontId="0" fillId="0" borderId="7" xfId="0" applyBorder="1" applyAlignment="1">
      <alignment horizontal="right"/>
    </xf>
    <xf numFmtId="0" fontId="0" fillId="0" borderId="8" xfId="0" quotePrefix="1" applyBorder="1" applyAlignment="1">
      <alignment horizontal="left"/>
    </xf>
    <xf numFmtId="0" fontId="0" fillId="0" borderId="8" xfId="0" applyBorder="1"/>
    <xf numFmtId="0" fontId="0" fillId="0" borderId="9" xfId="0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Spending each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Spending per year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'Reframed - Present'!$C$33:$J$33</c:f>
              <c:numCache>
                <c:formatCode>General</c:formatCode>
                <c:ptCount val="8"/>
                <c:pt idx="0">
                  <c:v>63</c:v>
                </c:pt>
                <c:pt idx="1">
                  <c:v>64</c:v>
                </c:pt>
                <c:pt idx="2">
                  <c:v>65</c:v>
                </c:pt>
                <c:pt idx="3">
                  <c:v>66</c:v>
                </c:pt>
                <c:pt idx="4">
                  <c:v>67</c:v>
                </c:pt>
                <c:pt idx="5">
                  <c:v>68</c:v>
                </c:pt>
                <c:pt idx="6">
                  <c:v>69</c:v>
                </c:pt>
                <c:pt idx="7">
                  <c:v>70</c:v>
                </c:pt>
              </c:numCache>
            </c:numRef>
          </c:cat>
          <c:val>
            <c:numRef>
              <c:f>'Reframed - Present'!$C$40:$J$40</c:f>
              <c:numCache>
                <c:formatCode>_-[$£-809]* #,##0.00_-;\-[$£-809]* #,##0.00_-;_-[$£-809]* "-"??_-;_-@_-</c:formatCode>
                <c:ptCount val="8"/>
                <c:pt idx="0">
                  <c:v>31000</c:v>
                </c:pt>
                <c:pt idx="1">
                  <c:v>31000</c:v>
                </c:pt>
                <c:pt idx="2">
                  <c:v>31000</c:v>
                </c:pt>
                <c:pt idx="3">
                  <c:v>31000</c:v>
                </c:pt>
                <c:pt idx="4">
                  <c:v>27000</c:v>
                </c:pt>
                <c:pt idx="5">
                  <c:v>27000</c:v>
                </c:pt>
                <c:pt idx="6">
                  <c:v>27000</c:v>
                </c:pt>
                <c:pt idx="7">
                  <c:v>27000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20-48F1-B706-98E267902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1"/>
        <c:overlap val="1"/>
        <c:axId val="1172287455"/>
        <c:axId val="1162928271"/>
      </c:barChart>
      <c:catAx>
        <c:axId val="1172287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Your 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928271"/>
        <c:crosses val="autoZero"/>
        <c:auto val="1"/>
        <c:lblAlgn val="ctr"/>
        <c:lblOffset val="100"/>
        <c:noMultiLvlLbl val="0"/>
      </c:catAx>
      <c:valAx>
        <c:axId val="1162928271"/>
        <c:scaling>
          <c:orientation val="minMax"/>
          <c:max val="4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Spending that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£-809]* #,##0_-;\-[$£-809]* #,##0_-;_-[$£-809]* &quot;-&quot;_-;_-@_-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28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Spending each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Spending per year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'Reframed - Future'!$C$33:$J$33</c:f>
              <c:numCache>
                <c:formatCode>General</c:formatCode>
                <c:ptCount val="8"/>
                <c:pt idx="0">
                  <c:v>63</c:v>
                </c:pt>
                <c:pt idx="1">
                  <c:v>64</c:v>
                </c:pt>
                <c:pt idx="2">
                  <c:v>65</c:v>
                </c:pt>
                <c:pt idx="3">
                  <c:v>66</c:v>
                </c:pt>
                <c:pt idx="4">
                  <c:v>67</c:v>
                </c:pt>
                <c:pt idx="5">
                  <c:v>68</c:v>
                </c:pt>
                <c:pt idx="6">
                  <c:v>69</c:v>
                </c:pt>
                <c:pt idx="7">
                  <c:v>70</c:v>
                </c:pt>
              </c:numCache>
            </c:numRef>
          </c:cat>
          <c:val>
            <c:numRef>
              <c:f>'Reframed - Future'!$C$40:$J$40</c:f>
              <c:numCache>
                <c:formatCode>_-[$£-809]* #,##0.00_-;\-[$£-809]* #,##0.00_-;_-[$£-809]* "-"??_-;_-@_-</c:formatCode>
                <c:ptCount val="8"/>
                <c:pt idx="0">
                  <c:v>31000</c:v>
                </c:pt>
                <c:pt idx="1">
                  <c:v>31000</c:v>
                </c:pt>
                <c:pt idx="2">
                  <c:v>31000</c:v>
                </c:pt>
                <c:pt idx="3">
                  <c:v>31000</c:v>
                </c:pt>
                <c:pt idx="4">
                  <c:v>27000</c:v>
                </c:pt>
                <c:pt idx="5">
                  <c:v>27000</c:v>
                </c:pt>
                <c:pt idx="6">
                  <c:v>27000</c:v>
                </c:pt>
                <c:pt idx="7">
                  <c:v>27000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BD-4D97-8C58-EF2E31C21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1"/>
        <c:overlap val="1"/>
        <c:axId val="1172287455"/>
        <c:axId val="1162928271"/>
      </c:barChart>
      <c:catAx>
        <c:axId val="1172287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Your 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928271"/>
        <c:crosses val="autoZero"/>
        <c:auto val="1"/>
        <c:lblAlgn val="ctr"/>
        <c:lblOffset val="100"/>
        <c:noMultiLvlLbl val="0"/>
      </c:catAx>
      <c:valAx>
        <c:axId val="1162928271"/>
        <c:scaling>
          <c:orientation val="minMax"/>
          <c:max val="4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Spending that</a:t>
                </a:r>
                <a:r>
                  <a:rPr lang="en-US" baseline="0"/>
                  <a:t> Year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£-809]* #,##0_-;\-[$£-809]* #,##0_-;_-[$£-809]* &quot;-&quot;_-;_-@_-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28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Change in Spending each Year as a Reaction to the Scenario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Change in Spending that Year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'Natural_1 - Present'!$C$33:$J$33</c:f>
              <c:numCache>
                <c:formatCode>General</c:formatCode>
                <c:ptCount val="8"/>
                <c:pt idx="0">
                  <c:v>63</c:v>
                </c:pt>
                <c:pt idx="1">
                  <c:v>64</c:v>
                </c:pt>
                <c:pt idx="2">
                  <c:v>65</c:v>
                </c:pt>
                <c:pt idx="3">
                  <c:v>66</c:v>
                </c:pt>
                <c:pt idx="4">
                  <c:v>67</c:v>
                </c:pt>
                <c:pt idx="5">
                  <c:v>68</c:v>
                </c:pt>
                <c:pt idx="6">
                  <c:v>69</c:v>
                </c:pt>
                <c:pt idx="7">
                  <c:v>70</c:v>
                </c:pt>
              </c:numCache>
            </c:numRef>
          </c:cat>
          <c:val>
            <c:numRef>
              <c:f>'Natural_1 - Present'!$C$40:$J$40</c:f>
              <c:numCache>
                <c:formatCode>_-[$£-809]* #,##0.00_-;\-[$£-809]* #,##0.00_-;_-[$£-809]* "-"??_-;_-@_-</c:formatCode>
                <c:ptCount val="8"/>
                <c:pt idx="0">
                  <c:v>30000</c:v>
                </c:pt>
                <c:pt idx="1">
                  <c:v>10000</c:v>
                </c:pt>
                <c:pt idx="2">
                  <c:v>5000</c:v>
                </c:pt>
                <c:pt idx="3">
                  <c:v>5000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5B-4177-899E-AE1C8E08F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1"/>
        <c:overlap val="1"/>
        <c:axId val="1172287455"/>
        <c:axId val="1162928271"/>
      </c:barChart>
      <c:catAx>
        <c:axId val="1172287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Your 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928271"/>
        <c:crosses val="autoZero"/>
        <c:auto val="1"/>
        <c:lblAlgn val="ctr"/>
        <c:lblOffset val="100"/>
        <c:noMultiLvlLbl val="0"/>
      </c:catAx>
      <c:valAx>
        <c:axId val="1162928271"/>
        <c:scaling>
          <c:orientation val="minMax"/>
          <c:max val="4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Change in Spending that</a:t>
                </a:r>
                <a:r>
                  <a:rPr lang="en-US" baseline="0"/>
                  <a:t> Year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£-809]* #,##0_-;\-[$£-809]* #,##0_-;_-[$£-809]* &quot;-&quot;_-;_-@_-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28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Change in Spending each Year as a Reaction to the Scenario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Change in Spending that Year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'Natural_1 - Future'!$C$33:$J$33</c:f>
              <c:numCache>
                <c:formatCode>General</c:formatCode>
                <c:ptCount val="8"/>
                <c:pt idx="0">
                  <c:v>63</c:v>
                </c:pt>
                <c:pt idx="1">
                  <c:v>64</c:v>
                </c:pt>
                <c:pt idx="2">
                  <c:v>65</c:v>
                </c:pt>
                <c:pt idx="3">
                  <c:v>66</c:v>
                </c:pt>
                <c:pt idx="4">
                  <c:v>67</c:v>
                </c:pt>
                <c:pt idx="5">
                  <c:v>68</c:v>
                </c:pt>
                <c:pt idx="6">
                  <c:v>69</c:v>
                </c:pt>
                <c:pt idx="7">
                  <c:v>70</c:v>
                </c:pt>
              </c:numCache>
            </c:numRef>
          </c:cat>
          <c:val>
            <c:numRef>
              <c:f>'Natural_1 - Future'!$C$40:$J$40</c:f>
              <c:numCache>
                <c:formatCode>_-[$£-809]* #,##0.00_-;\-[$£-809]* #,##0.00_-;_-[$£-809]* "-"??_-;_-@_-</c:formatCode>
                <c:ptCount val="8"/>
                <c:pt idx="0">
                  <c:v>2500</c:v>
                </c:pt>
                <c:pt idx="1">
                  <c:v>2500</c:v>
                </c:pt>
                <c:pt idx="2">
                  <c:v>25000</c:v>
                </c:pt>
                <c:pt idx="3">
                  <c:v>10000</c:v>
                </c:pt>
                <c:pt idx="4">
                  <c:v>5000</c:v>
                </c:pt>
                <c:pt idx="5">
                  <c:v>5000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7A-4257-BFA6-2A6673678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1"/>
        <c:overlap val="1"/>
        <c:axId val="1172287455"/>
        <c:axId val="1162928271"/>
      </c:barChart>
      <c:catAx>
        <c:axId val="1172287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Your 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928271"/>
        <c:crosses val="autoZero"/>
        <c:auto val="1"/>
        <c:lblAlgn val="ctr"/>
        <c:lblOffset val="100"/>
        <c:noMultiLvlLbl val="0"/>
      </c:catAx>
      <c:valAx>
        <c:axId val="1162928271"/>
        <c:scaling>
          <c:orientation val="minMax"/>
          <c:max val="4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Change in Spending that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£-809]* #,##0_-;\-[$£-809]* #,##0_-;_-[$£-809]* &quot;-&quot;_-;_-@_-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28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2333625</xdr:colOff>
      <xdr:row>13</xdr:row>
      <xdr:rowOff>0</xdr:rowOff>
    </xdr:from>
    <xdr:to>
      <xdr:col>10</xdr:col>
      <xdr:colOff>171449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9A39CD-55BC-4547-B569-17BF13758B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2333625</xdr:colOff>
      <xdr:row>13</xdr:row>
      <xdr:rowOff>0</xdr:rowOff>
    </xdr:from>
    <xdr:to>
      <xdr:col>10</xdr:col>
      <xdr:colOff>171449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20600F-030C-4215-A866-3AFF6AF517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2333625</xdr:colOff>
      <xdr:row>13</xdr:row>
      <xdr:rowOff>0</xdr:rowOff>
    </xdr:from>
    <xdr:to>
      <xdr:col>10</xdr:col>
      <xdr:colOff>171449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1732AD-EB01-41BD-9349-771B835EF5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2333625</xdr:colOff>
      <xdr:row>13</xdr:row>
      <xdr:rowOff>0</xdr:rowOff>
    </xdr:from>
    <xdr:to>
      <xdr:col>10</xdr:col>
      <xdr:colOff>171449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126931-7277-45E4-A627-6EBE4B7E2A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7C854-C3A5-4E8A-8355-DD8926536E02}">
  <dimension ref="B2:AX22"/>
  <sheetViews>
    <sheetView tabSelected="1" workbookViewId="0">
      <selection activeCell="C24" sqref="C24"/>
    </sheetView>
  </sheetViews>
  <sheetFormatPr defaultRowHeight="15" x14ac:dyDescent="0.25"/>
  <cols>
    <col min="2" max="2" width="46.7109375" style="1" customWidth="1"/>
    <col min="3" max="9" width="15.7109375" customWidth="1"/>
    <col min="10" max="10" width="12.7109375" customWidth="1"/>
    <col min="11" max="11" width="4.7109375" customWidth="1"/>
    <col min="12" max="50" width="12.7109375" customWidth="1"/>
  </cols>
  <sheetData>
    <row r="2" spans="2:50" x14ac:dyDescent="0.25">
      <c r="B2" s="3" t="s">
        <v>17</v>
      </c>
    </row>
    <row r="3" spans="2:50" x14ac:dyDescent="0.25">
      <c r="B3" s="1" t="s">
        <v>9</v>
      </c>
      <c r="C3" s="8">
        <v>120000</v>
      </c>
    </row>
    <row r="4" spans="2:50" x14ac:dyDescent="0.25">
      <c r="B4" s="1" t="s">
        <v>7</v>
      </c>
      <c r="C4" s="8">
        <v>30253</v>
      </c>
    </row>
    <row r="5" spans="2:50" x14ac:dyDescent="0.25">
      <c r="B5" s="1" t="s">
        <v>8</v>
      </c>
      <c r="C5" s="8">
        <v>17264</v>
      </c>
    </row>
    <row r="6" spans="2:50" x14ac:dyDescent="0.25">
      <c r="B6" s="1" t="s">
        <v>6</v>
      </c>
      <c r="C6" s="9">
        <v>0.03</v>
      </c>
    </row>
    <row r="8" spans="2:50" x14ac:dyDescent="0.25">
      <c r="B8" s="1" t="s">
        <v>10</v>
      </c>
      <c r="C8" t="s">
        <v>11</v>
      </c>
    </row>
    <row r="9" spans="2:50" x14ac:dyDescent="0.25">
      <c r="C9" s="19" t="s">
        <v>23</v>
      </c>
    </row>
    <row r="10" spans="2:50" s="16" customFormat="1" ht="15.75" thickBot="1" x14ac:dyDescent="0.3">
      <c r="B10" s="14"/>
      <c r="C10" s="15"/>
    </row>
    <row r="11" spans="2:50" ht="16.5" thickTop="1" thickBot="1" x14ac:dyDescent="0.3">
      <c r="C11" s="18"/>
    </row>
    <row r="12" spans="2:50" x14ac:dyDescent="0.25">
      <c r="B12" s="31" t="s">
        <v>19</v>
      </c>
      <c r="C12" s="32" t="s">
        <v>32</v>
      </c>
      <c r="D12" s="33"/>
      <c r="E12" s="33"/>
      <c r="F12" s="33"/>
      <c r="G12" s="33"/>
      <c r="H12" s="33"/>
      <c r="I12" s="33"/>
      <c r="J12" s="34"/>
    </row>
    <row r="13" spans="2:50" x14ac:dyDescent="0.25">
      <c r="B13" s="35"/>
      <c r="C13" s="36"/>
      <c r="D13" s="36"/>
      <c r="E13" s="36"/>
      <c r="F13" s="36"/>
      <c r="G13" s="36"/>
      <c r="H13" s="36"/>
      <c r="I13" s="36"/>
      <c r="J13" s="37"/>
    </row>
    <row r="14" spans="2:50" ht="15" customHeight="1" x14ac:dyDescent="0.25">
      <c r="B14" s="38"/>
      <c r="C14" s="39" t="s">
        <v>3</v>
      </c>
      <c r="D14" s="39"/>
      <c r="E14" s="39"/>
      <c r="F14" s="39"/>
      <c r="G14" s="39" t="s">
        <v>4</v>
      </c>
      <c r="H14" s="39"/>
      <c r="I14" s="39"/>
      <c r="J14" s="40"/>
      <c r="K14" s="5"/>
    </row>
    <row r="15" spans="2:50" s="4" customFormat="1" x14ac:dyDescent="0.25">
      <c r="B15" s="41" t="s">
        <v>5</v>
      </c>
      <c r="C15" s="4">
        <v>63</v>
      </c>
      <c r="D15" s="4">
        <f>C15+1</f>
        <v>64</v>
      </c>
      <c r="E15" s="4">
        <f t="shared" ref="E15:I15" si="0">D15+1</f>
        <v>65</v>
      </c>
      <c r="F15" s="4">
        <f t="shared" si="0"/>
        <v>66</v>
      </c>
      <c r="G15" s="4">
        <f t="shared" si="0"/>
        <v>67</v>
      </c>
      <c r="H15" s="4">
        <f t="shared" si="0"/>
        <v>68</v>
      </c>
      <c r="I15" s="4">
        <f t="shared" si="0"/>
        <v>69</v>
      </c>
      <c r="J15" s="42">
        <f t="shared" ref="J15:AX15" si="1">I15+1</f>
        <v>70</v>
      </c>
      <c r="K15" s="3"/>
      <c r="L15" s="4">
        <f>J15+1</f>
        <v>71</v>
      </c>
      <c r="M15" s="4">
        <f t="shared" si="1"/>
        <v>72</v>
      </c>
      <c r="N15" s="4">
        <f t="shared" si="1"/>
        <v>73</v>
      </c>
      <c r="O15" s="4">
        <f t="shared" si="1"/>
        <v>74</v>
      </c>
      <c r="P15" s="4">
        <f t="shared" si="1"/>
        <v>75</v>
      </c>
      <c r="Q15" s="4">
        <f t="shared" si="1"/>
        <v>76</v>
      </c>
      <c r="R15" s="4">
        <f t="shared" si="1"/>
        <v>77</v>
      </c>
      <c r="S15" s="4">
        <f t="shared" si="1"/>
        <v>78</v>
      </c>
      <c r="T15" s="4">
        <f t="shared" si="1"/>
        <v>79</v>
      </c>
      <c r="U15" s="4">
        <f t="shared" si="1"/>
        <v>80</v>
      </c>
      <c r="V15" s="4">
        <f t="shared" si="1"/>
        <v>81</v>
      </c>
      <c r="W15" s="4">
        <f t="shared" si="1"/>
        <v>82</v>
      </c>
      <c r="X15" s="4">
        <f t="shared" si="1"/>
        <v>83</v>
      </c>
      <c r="Y15" s="4">
        <f t="shared" si="1"/>
        <v>84</v>
      </c>
      <c r="Z15" s="4">
        <f t="shared" si="1"/>
        <v>85</v>
      </c>
      <c r="AA15" s="4">
        <f t="shared" si="1"/>
        <v>86</v>
      </c>
      <c r="AB15" s="4">
        <f t="shared" si="1"/>
        <v>87</v>
      </c>
      <c r="AC15" s="4">
        <f t="shared" si="1"/>
        <v>88</v>
      </c>
      <c r="AD15" s="4">
        <f t="shared" si="1"/>
        <v>89</v>
      </c>
      <c r="AE15" s="4">
        <f t="shared" si="1"/>
        <v>90</v>
      </c>
      <c r="AF15" s="4">
        <f t="shared" si="1"/>
        <v>91</v>
      </c>
      <c r="AG15" s="4">
        <f t="shared" si="1"/>
        <v>92</v>
      </c>
      <c r="AH15" s="4">
        <f t="shared" si="1"/>
        <v>93</v>
      </c>
      <c r="AI15" s="4">
        <f t="shared" si="1"/>
        <v>94</v>
      </c>
      <c r="AJ15" s="4">
        <f t="shared" si="1"/>
        <v>95</v>
      </c>
      <c r="AK15" s="4">
        <f t="shared" si="1"/>
        <v>96</v>
      </c>
      <c r="AL15" s="4">
        <f t="shared" si="1"/>
        <v>97</v>
      </c>
      <c r="AM15" s="4">
        <f t="shared" si="1"/>
        <v>98</v>
      </c>
      <c r="AN15" s="4">
        <f t="shared" si="1"/>
        <v>99</v>
      </c>
      <c r="AO15" s="4">
        <f t="shared" si="1"/>
        <v>100</v>
      </c>
      <c r="AP15" s="4">
        <f t="shared" si="1"/>
        <v>101</v>
      </c>
      <c r="AQ15" s="4">
        <f t="shared" si="1"/>
        <v>102</v>
      </c>
      <c r="AR15" s="4">
        <f t="shared" si="1"/>
        <v>103</v>
      </c>
      <c r="AS15" s="4">
        <f t="shared" si="1"/>
        <v>104</v>
      </c>
      <c r="AT15" s="4">
        <f t="shared" si="1"/>
        <v>105</v>
      </c>
      <c r="AU15" s="4">
        <f t="shared" si="1"/>
        <v>106</v>
      </c>
      <c r="AV15" s="4">
        <f t="shared" si="1"/>
        <v>107</v>
      </c>
      <c r="AW15" s="4">
        <f t="shared" si="1"/>
        <v>108</v>
      </c>
      <c r="AX15" s="4">
        <f t="shared" si="1"/>
        <v>109</v>
      </c>
    </row>
    <row r="16" spans="2:50" x14ac:dyDescent="0.25">
      <c r="B16" s="35" t="s">
        <v>0</v>
      </c>
      <c r="C16" s="43">
        <f>$C$4</f>
        <v>30253</v>
      </c>
      <c r="D16" s="43">
        <f>$C$4</f>
        <v>30253</v>
      </c>
      <c r="E16" s="43">
        <f>$C$4</f>
        <v>30253</v>
      </c>
      <c r="F16" s="43">
        <f>$C$4</f>
        <v>30253</v>
      </c>
      <c r="G16" s="43">
        <f>$C$5</f>
        <v>17264</v>
      </c>
      <c r="H16" s="43">
        <f>$C$5</f>
        <v>17264</v>
      </c>
      <c r="I16" s="43">
        <f>$C$5</f>
        <v>17264</v>
      </c>
      <c r="J16" s="44">
        <f>$C$5</f>
        <v>17264</v>
      </c>
      <c r="K16" s="2"/>
      <c r="L16" s="2">
        <f t="shared" ref="L16:AX16" si="2">$C$5</f>
        <v>17264</v>
      </c>
      <c r="M16" s="2">
        <f t="shared" si="2"/>
        <v>17264</v>
      </c>
      <c r="N16" s="2">
        <f t="shared" si="2"/>
        <v>17264</v>
      </c>
      <c r="O16" s="2">
        <f t="shared" si="2"/>
        <v>17264</v>
      </c>
      <c r="P16" s="2">
        <f t="shared" si="2"/>
        <v>17264</v>
      </c>
      <c r="Q16" s="2">
        <f t="shared" si="2"/>
        <v>17264</v>
      </c>
      <c r="R16" s="2">
        <f t="shared" si="2"/>
        <v>17264</v>
      </c>
      <c r="S16" s="2">
        <f t="shared" si="2"/>
        <v>17264</v>
      </c>
      <c r="T16" s="2">
        <f t="shared" si="2"/>
        <v>17264</v>
      </c>
      <c r="U16" s="2">
        <f t="shared" si="2"/>
        <v>17264</v>
      </c>
      <c r="V16" s="2">
        <f t="shared" si="2"/>
        <v>17264</v>
      </c>
      <c r="W16" s="2">
        <f t="shared" si="2"/>
        <v>17264</v>
      </c>
      <c r="X16" s="2">
        <f t="shared" si="2"/>
        <v>17264</v>
      </c>
      <c r="Y16" s="2">
        <f t="shared" si="2"/>
        <v>17264</v>
      </c>
      <c r="Z16" s="2">
        <f t="shared" si="2"/>
        <v>17264</v>
      </c>
      <c r="AA16" s="2">
        <f t="shared" si="2"/>
        <v>17264</v>
      </c>
      <c r="AB16" s="2">
        <f t="shared" si="2"/>
        <v>17264</v>
      </c>
      <c r="AC16" s="2">
        <f t="shared" si="2"/>
        <v>17264</v>
      </c>
      <c r="AD16" s="2">
        <f t="shared" si="2"/>
        <v>17264</v>
      </c>
      <c r="AE16" s="2">
        <f t="shared" si="2"/>
        <v>17264</v>
      </c>
      <c r="AF16" s="2">
        <f t="shared" si="2"/>
        <v>17264</v>
      </c>
      <c r="AG16" s="2">
        <f t="shared" si="2"/>
        <v>17264</v>
      </c>
      <c r="AH16" s="2">
        <f t="shared" si="2"/>
        <v>17264</v>
      </c>
      <c r="AI16" s="2">
        <f t="shared" si="2"/>
        <v>17264</v>
      </c>
      <c r="AJ16" s="2">
        <f t="shared" si="2"/>
        <v>17264</v>
      </c>
      <c r="AK16" s="2">
        <f t="shared" si="2"/>
        <v>17264</v>
      </c>
      <c r="AL16" s="2">
        <f t="shared" si="2"/>
        <v>17264</v>
      </c>
      <c r="AM16" s="2">
        <f t="shared" si="2"/>
        <v>17264</v>
      </c>
      <c r="AN16" s="2">
        <f t="shared" si="2"/>
        <v>17264</v>
      </c>
      <c r="AO16" s="2">
        <f t="shared" si="2"/>
        <v>17264</v>
      </c>
      <c r="AP16" s="2">
        <f t="shared" si="2"/>
        <v>17264</v>
      </c>
      <c r="AQ16" s="2">
        <f t="shared" si="2"/>
        <v>17264</v>
      </c>
      <c r="AR16" s="2">
        <f t="shared" si="2"/>
        <v>17264</v>
      </c>
      <c r="AS16" s="2">
        <f t="shared" si="2"/>
        <v>17264</v>
      </c>
      <c r="AT16" s="2">
        <f t="shared" si="2"/>
        <v>17264</v>
      </c>
      <c r="AU16" s="2">
        <f t="shared" si="2"/>
        <v>17264</v>
      </c>
      <c r="AV16" s="2">
        <f t="shared" si="2"/>
        <v>17264</v>
      </c>
      <c r="AW16" s="2">
        <f t="shared" si="2"/>
        <v>17264</v>
      </c>
      <c r="AX16" s="2">
        <f t="shared" si="2"/>
        <v>17264</v>
      </c>
    </row>
    <row r="17" spans="2:50" x14ac:dyDescent="0.25">
      <c r="B17" s="35" t="s">
        <v>1</v>
      </c>
      <c r="C17" s="45">
        <v>27000</v>
      </c>
      <c r="D17" s="45">
        <v>27000</v>
      </c>
      <c r="E17" s="45">
        <v>27000</v>
      </c>
      <c r="F17" s="45">
        <v>27000</v>
      </c>
      <c r="G17" s="45">
        <v>25000</v>
      </c>
      <c r="H17" s="45">
        <v>25000</v>
      </c>
      <c r="I17" s="45">
        <v>25000</v>
      </c>
      <c r="J17" s="46">
        <v>25000</v>
      </c>
      <c r="K17" s="2"/>
      <c r="L17" s="10">
        <f>J17</f>
        <v>25000</v>
      </c>
      <c r="M17" s="10">
        <f>L17</f>
        <v>25000</v>
      </c>
      <c r="N17" s="10">
        <f t="shared" ref="N17:AX17" si="3">M17</f>
        <v>25000</v>
      </c>
      <c r="O17" s="10">
        <f t="shared" si="3"/>
        <v>25000</v>
      </c>
      <c r="P17" s="10">
        <f t="shared" si="3"/>
        <v>25000</v>
      </c>
      <c r="Q17" s="10">
        <f t="shared" si="3"/>
        <v>25000</v>
      </c>
      <c r="R17" s="10">
        <f t="shared" si="3"/>
        <v>25000</v>
      </c>
      <c r="S17" s="10">
        <f t="shared" si="3"/>
        <v>25000</v>
      </c>
      <c r="T17" s="10">
        <f t="shared" si="3"/>
        <v>25000</v>
      </c>
      <c r="U17" s="10">
        <f t="shared" si="3"/>
        <v>25000</v>
      </c>
      <c r="V17" s="10">
        <f t="shared" si="3"/>
        <v>25000</v>
      </c>
      <c r="W17" s="10">
        <f t="shared" si="3"/>
        <v>25000</v>
      </c>
      <c r="X17" s="10">
        <f t="shared" si="3"/>
        <v>25000</v>
      </c>
      <c r="Y17" s="10">
        <f t="shared" si="3"/>
        <v>25000</v>
      </c>
      <c r="Z17" s="10">
        <f t="shared" si="3"/>
        <v>25000</v>
      </c>
      <c r="AA17" s="10">
        <f t="shared" si="3"/>
        <v>25000</v>
      </c>
      <c r="AB17" s="10">
        <f t="shared" si="3"/>
        <v>25000</v>
      </c>
      <c r="AC17" s="10">
        <f t="shared" si="3"/>
        <v>25000</v>
      </c>
      <c r="AD17" s="10">
        <f t="shared" si="3"/>
        <v>25000</v>
      </c>
      <c r="AE17" s="10">
        <f t="shared" si="3"/>
        <v>25000</v>
      </c>
      <c r="AF17" s="10">
        <f t="shared" si="3"/>
        <v>25000</v>
      </c>
      <c r="AG17" s="10">
        <f t="shared" si="3"/>
        <v>25000</v>
      </c>
      <c r="AH17" s="10">
        <f t="shared" si="3"/>
        <v>25000</v>
      </c>
      <c r="AI17" s="10">
        <f t="shared" si="3"/>
        <v>25000</v>
      </c>
      <c r="AJ17" s="10">
        <f t="shared" si="3"/>
        <v>25000</v>
      </c>
      <c r="AK17" s="10">
        <f t="shared" si="3"/>
        <v>25000</v>
      </c>
      <c r="AL17" s="10">
        <f t="shared" si="3"/>
        <v>25000</v>
      </c>
      <c r="AM17" s="10">
        <f t="shared" si="3"/>
        <v>25000</v>
      </c>
      <c r="AN17" s="10">
        <f t="shared" si="3"/>
        <v>25000</v>
      </c>
      <c r="AO17" s="10">
        <f t="shared" si="3"/>
        <v>25000</v>
      </c>
      <c r="AP17" s="10">
        <f t="shared" si="3"/>
        <v>25000</v>
      </c>
      <c r="AQ17" s="10">
        <f t="shared" si="3"/>
        <v>25000</v>
      </c>
      <c r="AR17" s="10">
        <f t="shared" si="3"/>
        <v>25000</v>
      </c>
      <c r="AS17" s="10">
        <f t="shared" si="3"/>
        <v>25000</v>
      </c>
      <c r="AT17" s="10">
        <f t="shared" si="3"/>
        <v>25000</v>
      </c>
      <c r="AU17" s="10">
        <f t="shared" si="3"/>
        <v>25000</v>
      </c>
      <c r="AV17" s="10">
        <f t="shared" si="3"/>
        <v>25000</v>
      </c>
      <c r="AW17" s="10">
        <f t="shared" si="3"/>
        <v>25000</v>
      </c>
      <c r="AX17" s="10">
        <f t="shared" si="3"/>
        <v>25000</v>
      </c>
    </row>
    <row r="18" spans="2:50" x14ac:dyDescent="0.25">
      <c r="B18" s="35" t="s">
        <v>2</v>
      </c>
      <c r="C18" s="43">
        <f t="shared" ref="C18:I18" si="4">C16-C17</f>
        <v>3253</v>
      </c>
      <c r="D18" s="43">
        <f t="shared" si="4"/>
        <v>3253</v>
      </c>
      <c r="E18" s="43">
        <f t="shared" si="4"/>
        <v>3253</v>
      </c>
      <c r="F18" s="43">
        <f t="shared" si="4"/>
        <v>3253</v>
      </c>
      <c r="G18" s="43">
        <f t="shared" si="4"/>
        <v>-7736</v>
      </c>
      <c r="H18" s="43">
        <f t="shared" si="4"/>
        <v>-7736</v>
      </c>
      <c r="I18" s="43">
        <f t="shared" si="4"/>
        <v>-7736</v>
      </c>
      <c r="J18" s="44">
        <f t="shared" ref="J18:AX18" si="5">J16-J17</f>
        <v>-7736</v>
      </c>
      <c r="K18" s="2"/>
      <c r="L18" s="2">
        <f t="shared" si="5"/>
        <v>-7736</v>
      </c>
      <c r="M18" s="2">
        <f t="shared" si="5"/>
        <v>-7736</v>
      </c>
      <c r="N18" s="2">
        <f t="shared" si="5"/>
        <v>-7736</v>
      </c>
      <c r="O18" s="2">
        <f t="shared" si="5"/>
        <v>-7736</v>
      </c>
      <c r="P18" s="2">
        <f t="shared" si="5"/>
        <v>-7736</v>
      </c>
      <c r="Q18" s="2">
        <f t="shared" si="5"/>
        <v>-7736</v>
      </c>
      <c r="R18" s="2">
        <f t="shared" si="5"/>
        <v>-7736</v>
      </c>
      <c r="S18" s="2">
        <f t="shared" si="5"/>
        <v>-7736</v>
      </c>
      <c r="T18" s="2">
        <f t="shared" si="5"/>
        <v>-7736</v>
      </c>
      <c r="U18" s="2">
        <f t="shared" si="5"/>
        <v>-7736</v>
      </c>
      <c r="V18" s="2">
        <f t="shared" si="5"/>
        <v>-7736</v>
      </c>
      <c r="W18" s="2">
        <f t="shared" si="5"/>
        <v>-7736</v>
      </c>
      <c r="X18" s="2">
        <f t="shared" si="5"/>
        <v>-7736</v>
      </c>
      <c r="Y18" s="2">
        <f t="shared" si="5"/>
        <v>-7736</v>
      </c>
      <c r="Z18" s="2">
        <f t="shared" si="5"/>
        <v>-7736</v>
      </c>
      <c r="AA18" s="2">
        <f t="shared" si="5"/>
        <v>-7736</v>
      </c>
      <c r="AB18" s="2">
        <f t="shared" si="5"/>
        <v>-7736</v>
      </c>
      <c r="AC18" s="2">
        <f t="shared" si="5"/>
        <v>-7736</v>
      </c>
      <c r="AD18" s="2">
        <f t="shared" si="5"/>
        <v>-7736</v>
      </c>
      <c r="AE18" s="2">
        <f t="shared" si="5"/>
        <v>-7736</v>
      </c>
      <c r="AF18" s="2">
        <f t="shared" si="5"/>
        <v>-7736</v>
      </c>
      <c r="AG18" s="2">
        <f t="shared" si="5"/>
        <v>-7736</v>
      </c>
      <c r="AH18" s="2">
        <f t="shared" si="5"/>
        <v>-7736</v>
      </c>
      <c r="AI18" s="2">
        <f t="shared" si="5"/>
        <v>-7736</v>
      </c>
      <c r="AJ18" s="2">
        <f t="shared" si="5"/>
        <v>-7736</v>
      </c>
      <c r="AK18" s="2">
        <f t="shared" si="5"/>
        <v>-7736</v>
      </c>
      <c r="AL18" s="2">
        <f t="shared" si="5"/>
        <v>-7736</v>
      </c>
      <c r="AM18" s="2">
        <f t="shared" si="5"/>
        <v>-7736</v>
      </c>
      <c r="AN18" s="2">
        <f t="shared" si="5"/>
        <v>-7736</v>
      </c>
      <c r="AO18" s="2">
        <f t="shared" si="5"/>
        <v>-7736</v>
      </c>
      <c r="AP18" s="2">
        <f t="shared" si="5"/>
        <v>-7736</v>
      </c>
      <c r="AQ18" s="2">
        <f t="shared" si="5"/>
        <v>-7736</v>
      </c>
      <c r="AR18" s="2">
        <f t="shared" si="5"/>
        <v>-7736</v>
      </c>
      <c r="AS18" s="2">
        <f t="shared" si="5"/>
        <v>-7736</v>
      </c>
      <c r="AT18" s="2">
        <f t="shared" si="5"/>
        <v>-7736</v>
      </c>
      <c r="AU18" s="2">
        <f t="shared" si="5"/>
        <v>-7736</v>
      </c>
      <c r="AV18" s="2">
        <f t="shared" si="5"/>
        <v>-7736</v>
      </c>
      <c r="AW18" s="2">
        <f t="shared" si="5"/>
        <v>-7736</v>
      </c>
      <c r="AX18" s="2">
        <f t="shared" si="5"/>
        <v>-7736</v>
      </c>
    </row>
    <row r="19" spans="2:50" x14ac:dyDescent="0.25">
      <c r="B19" s="35" t="s">
        <v>14</v>
      </c>
      <c r="C19" s="47">
        <f>$C$3+C18</f>
        <v>123253</v>
      </c>
      <c r="D19" s="43">
        <f t="shared" ref="D19:J19" si="6">C19*(1+$C$6)+D18</f>
        <v>130203.59</v>
      </c>
      <c r="E19" s="43">
        <f t="shared" si="6"/>
        <v>137362.69769999999</v>
      </c>
      <c r="F19" s="43">
        <f t="shared" si="6"/>
        <v>144736.57863099998</v>
      </c>
      <c r="G19" s="43">
        <f t="shared" si="6"/>
        <v>141342.67598992999</v>
      </c>
      <c r="H19" s="43">
        <f t="shared" si="6"/>
        <v>137846.9562696279</v>
      </c>
      <c r="I19" s="43">
        <f t="shared" si="6"/>
        <v>134246.36495771675</v>
      </c>
      <c r="J19" s="48">
        <f t="shared" si="6"/>
        <v>130537.75590644826</v>
      </c>
      <c r="K19" s="2"/>
      <c r="L19" s="2">
        <f>J19*(1+$C$6)+L18</f>
        <v>126717.8885836417</v>
      </c>
      <c r="M19" s="2">
        <f t="shared" ref="M19:AX19" si="7">L19*(1+$C$6)+M18</f>
        <v>122783.42524115095</v>
      </c>
      <c r="N19" s="2">
        <f t="shared" si="7"/>
        <v>118730.92799838548</v>
      </c>
      <c r="O19" s="2">
        <f t="shared" si="7"/>
        <v>114556.85583833704</v>
      </c>
      <c r="P19" s="2">
        <f t="shared" si="7"/>
        <v>110257.56151348715</v>
      </c>
      <c r="Q19" s="2">
        <f t="shared" si="7"/>
        <v>105829.28835889176</v>
      </c>
      <c r="R19" s="2">
        <f t="shared" si="7"/>
        <v>101268.16700965851</v>
      </c>
      <c r="S19" s="2">
        <f t="shared" si="7"/>
        <v>96570.212019948274</v>
      </c>
      <c r="T19" s="2">
        <f t="shared" si="7"/>
        <v>91731.318380546727</v>
      </c>
      <c r="U19" s="2">
        <f t="shared" si="7"/>
        <v>86747.257931963133</v>
      </c>
      <c r="V19" s="2">
        <f t="shared" si="7"/>
        <v>81613.675669922028</v>
      </c>
      <c r="W19" s="2">
        <f t="shared" si="7"/>
        <v>76326.085940019693</v>
      </c>
      <c r="X19" s="2">
        <f t="shared" si="7"/>
        <v>70879.86851822029</v>
      </c>
      <c r="Y19" s="2">
        <f t="shared" si="7"/>
        <v>65270.264573766894</v>
      </c>
      <c r="Z19" s="2">
        <f t="shared" si="7"/>
        <v>59492.372510979898</v>
      </c>
      <c r="AA19" s="2">
        <f t="shared" si="7"/>
        <v>53541.143686309297</v>
      </c>
      <c r="AB19" s="2">
        <f t="shared" si="7"/>
        <v>47411.377996898576</v>
      </c>
      <c r="AC19" s="2">
        <f t="shared" si="7"/>
        <v>41097.719336805538</v>
      </c>
      <c r="AD19" s="2">
        <f t="shared" si="7"/>
        <v>34594.650916909704</v>
      </c>
      <c r="AE19" s="30">
        <f t="shared" si="7"/>
        <v>27896.490444416995</v>
      </c>
      <c r="AF19" s="2">
        <f t="shared" si="7"/>
        <v>20997.385157749504</v>
      </c>
      <c r="AG19" s="2">
        <f t="shared" si="7"/>
        <v>13891.30671248199</v>
      </c>
      <c r="AH19" s="30">
        <f t="shared" si="7"/>
        <v>6572.0459138564493</v>
      </c>
      <c r="AI19" s="30">
        <f t="shared" si="7"/>
        <v>-966.79270872785673</v>
      </c>
      <c r="AJ19" s="2">
        <f t="shared" si="7"/>
        <v>-8731.7964899896924</v>
      </c>
      <c r="AK19" s="2">
        <f t="shared" si="7"/>
        <v>-16729.750384689381</v>
      </c>
      <c r="AL19" s="2">
        <f t="shared" si="7"/>
        <v>-24967.642896230063</v>
      </c>
      <c r="AM19" s="2">
        <f t="shared" si="7"/>
        <v>-33452.672183116971</v>
      </c>
      <c r="AN19" s="2">
        <f t="shared" si="7"/>
        <v>-42192.252348610484</v>
      </c>
      <c r="AO19" s="2">
        <f t="shared" si="7"/>
        <v>-51194.0199190688</v>
      </c>
      <c r="AP19" s="2">
        <f t="shared" si="7"/>
        <v>-60465.840516640863</v>
      </c>
      <c r="AQ19" s="2">
        <f t="shared" si="7"/>
        <v>-70015.815732140094</v>
      </c>
      <c r="AR19" s="2">
        <f t="shared" si="7"/>
        <v>-79852.290204104298</v>
      </c>
      <c r="AS19" s="2">
        <f t="shared" si="7"/>
        <v>-89983.858910227427</v>
      </c>
      <c r="AT19" s="2">
        <f t="shared" si="7"/>
        <v>-100419.37467753426</v>
      </c>
      <c r="AU19" s="2">
        <f t="shared" si="7"/>
        <v>-111167.95591786029</v>
      </c>
      <c r="AV19" s="2">
        <f t="shared" si="7"/>
        <v>-122238.9945953961</v>
      </c>
      <c r="AW19" s="2">
        <f t="shared" si="7"/>
        <v>-133642.164433258</v>
      </c>
      <c r="AX19" s="2">
        <f t="shared" si="7"/>
        <v>-145387.42936625576</v>
      </c>
    </row>
    <row r="20" spans="2:50" x14ac:dyDescent="0.25">
      <c r="B20" s="35"/>
      <c r="C20" s="36"/>
      <c r="D20" s="36"/>
      <c r="E20" s="36"/>
      <c r="F20" s="36"/>
      <c r="G20" s="36"/>
      <c r="H20" s="36"/>
      <c r="I20" s="36"/>
      <c r="J20" s="37"/>
    </row>
    <row r="21" spans="2:50" x14ac:dyDescent="0.25">
      <c r="B21" s="38" t="s">
        <v>18</v>
      </c>
      <c r="C21" s="49" t="s">
        <v>24</v>
      </c>
      <c r="D21" s="36"/>
      <c r="E21" s="36"/>
      <c r="F21" s="36"/>
      <c r="G21" s="36"/>
      <c r="H21" s="36"/>
      <c r="I21" s="36"/>
      <c r="J21" s="37"/>
    </row>
    <row r="22" spans="2:50" ht="15.75" thickBot="1" x14ac:dyDescent="0.3">
      <c r="B22" s="50"/>
      <c r="C22" s="51" t="s">
        <v>25</v>
      </c>
      <c r="D22" s="52"/>
      <c r="E22" s="52"/>
      <c r="F22" s="52"/>
      <c r="G22" s="52"/>
      <c r="H22" s="52"/>
      <c r="I22" s="52"/>
      <c r="J22" s="53"/>
    </row>
  </sheetData>
  <mergeCells count="2">
    <mergeCell ref="C14:F14"/>
    <mergeCell ref="G14:J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B4B15-01D2-41D8-BFD2-706EA9BB135E}">
  <dimension ref="B2:AX40"/>
  <sheetViews>
    <sheetView workbookViewId="0">
      <selection activeCell="C8" sqref="C8"/>
    </sheetView>
  </sheetViews>
  <sheetFormatPr defaultRowHeight="15" x14ac:dyDescent="0.25"/>
  <cols>
    <col min="2" max="2" width="46.7109375" style="1" customWidth="1"/>
    <col min="3" max="9" width="15.7109375" customWidth="1"/>
    <col min="10" max="10" width="12.7109375" customWidth="1"/>
    <col min="11" max="11" width="4.7109375" customWidth="1"/>
    <col min="12" max="50" width="12.7109375" customWidth="1"/>
  </cols>
  <sheetData>
    <row r="2" spans="2:14" x14ac:dyDescent="0.25">
      <c r="B2" s="3" t="s">
        <v>17</v>
      </c>
    </row>
    <row r="3" spans="2:14" x14ac:dyDescent="0.25">
      <c r="B3" s="1" t="s">
        <v>9</v>
      </c>
      <c r="C3" s="8">
        <v>120000</v>
      </c>
    </row>
    <row r="4" spans="2:14" x14ac:dyDescent="0.25">
      <c r="B4" s="1" t="s">
        <v>7</v>
      </c>
      <c r="C4" s="8">
        <v>30253</v>
      </c>
    </row>
    <row r="5" spans="2:14" x14ac:dyDescent="0.25">
      <c r="B5" s="1" t="s">
        <v>8</v>
      </c>
      <c r="C5" s="8">
        <v>17264</v>
      </c>
    </row>
    <row r="6" spans="2:14" x14ac:dyDescent="0.25">
      <c r="B6" s="1" t="s">
        <v>6</v>
      </c>
      <c r="C6" s="9">
        <v>0.03</v>
      </c>
    </row>
    <row r="7" spans="2:14" x14ac:dyDescent="0.25">
      <c r="B7" s="1" t="s">
        <v>13</v>
      </c>
      <c r="C7" s="8">
        <v>50000</v>
      </c>
    </row>
    <row r="8" spans="2:14" x14ac:dyDescent="0.25">
      <c r="B8" s="1" t="s">
        <v>10</v>
      </c>
      <c r="C8" t="s">
        <v>11</v>
      </c>
    </row>
    <row r="9" spans="2:14" x14ac:dyDescent="0.25">
      <c r="C9" s="19" t="s">
        <v>23</v>
      </c>
    </row>
    <row r="10" spans="2:14" s="16" customFormat="1" ht="15.75" thickBot="1" x14ac:dyDescent="0.3"/>
    <row r="11" spans="2:14" ht="15.75" thickTop="1" x14ac:dyDescent="0.25"/>
    <row r="12" spans="2:14" x14ac:dyDescent="0.25">
      <c r="B12" s="3" t="s">
        <v>19</v>
      </c>
      <c r="C12" s="18" t="s">
        <v>33</v>
      </c>
    </row>
    <row r="13" spans="2:14" ht="15.75" thickBot="1" x14ac:dyDescent="0.3"/>
    <row r="14" spans="2:14" x14ac:dyDescent="0.25">
      <c r="L14" s="21" t="s">
        <v>27</v>
      </c>
      <c r="M14" s="22"/>
      <c r="N14" s="23"/>
    </row>
    <row r="15" spans="2:14" x14ac:dyDescent="0.25">
      <c r="L15" s="24"/>
      <c r="M15" s="25"/>
      <c r="N15" s="26"/>
    </row>
    <row r="16" spans="2:14" x14ac:dyDescent="0.25">
      <c r="L16" s="24"/>
      <c r="M16" s="25"/>
      <c r="N16" s="26"/>
    </row>
    <row r="17" spans="2:14" x14ac:dyDescent="0.25">
      <c r="L17" s="24"/>
      <c r="M17" s="25"/>
      <c r="N17" s="26"/>
    </row>
    <row r="18" spans="2:14" x14ac:dyDescent="0.25">
      <c r="L18" s="24"/>
      <c r="M18" s="25"/>
      <c r="N18" s="26"/>
    </row>
    <row r="19" spans="2:14" x14ac:dyDescent="0.25">
      <c r="L19" s="24"/>
      <c r="M19" s="25"/>
      <c r="N19" s="26"/>
    </row>
    <row r="20" spans="2:14" x14ac:dyDescent="0.25">
      <c r="L20" s="24"/>
      <c r="M20" s="25"/>
      <c r="N20" s="26"/>
    </row>
    <row r="21" spans="2:14" x14ac:dyDescent="0.25">
      <c r="L21" s="24"/>
      <c r="M21" s="25"/>
      <c r="N21" s="26"/>
    </row>
    <row r="22" spans="2:14" x14ac:dyDescent="0.25">
      <c r="L22" s="24"/>
      <c r="M22" s="25"/>
      <c r="N22" s="26"/>
    </row>
    <row r="23" spans="2:14" x14ac:dyDescent="0.25">
      <c r="L23" s="24"/>
      <c r="M23" s="25"/>
      <c r="N23" s="26"/>
    </row>
    <row r="24" spans="2:14" x14ac:dyDescent="0.25">
      <c r="L24" s="24"/>
      <c r="M24" s="25"/>
      <c r="N24" s="26"/>
    </row>
    <row r="25" spans="2:14" x14ac:dyDescent="0.25">
      <c r="L25" s="24"/>
      <c r="M25" s="25"/>
      <c r="N25" s="26"/>
    </row>
    <row r="26" spans="2:14" x14ac:dyDescent="0.25">
      <c r="L26" s="24"/>
      <c r="M26" s="25"/>
      <c r="N26" s="26"/>
    </row>
    <row r="27" spans="2:14" x14ac:dyDescent="0.25">
      <c r="L27" s="24"/>
      <c r="M27" s="25"/>
      <c r="N27" s="26"/>
    </row>
    <row r="28" spans="2:14" x14ac:dyDescent="0.25">
      <c r="L28" s="24"/>
      <c r="M28" s="25"/>
      <c r="N28" s="26"/>
    </row>
    <row r="29" spans="2:14" ht="15.75" thickBot="1" x14ac:dyDescent="0.3">
      <c r="L29" s="27"/>
      <c r="M29" s="28"/>
      <c r="N29" s="29"/>
    </row>
    <row r="31" spans="2:14" x14ac:dyDescent="0.25">
      <c r="B31" s="13"/>
      <c r="C31" s="12"/>
    </row>
    <row r="32" spans="2:14" ht="15" customHeight="1" x14ac:dyDescent="0.25">
      <c r="B32" s="3"/>
      <c r="C32" s="20" t="s">
        <v>3</v>
      </c>
      <c r="D32" s="20"/>
      <c r="E32" s="20"/>
      <c r="F32" s="20"/>
      <c r="G32" s="20" t="s">
        <v>4</v>
      </c>
      <c r="H32" s="20"/>
      <c r="I32" s="20"/>
      <c r="J32" s="20"/>
      <c r="K32" s="5"/>
    </row>
    <row r="33" spans="2:50" s="4" customFormat="1" x14ac:dyDescent="0.25">
      <c r="B33" s="4" t="s">
        <v>5</v>
      </c>
      <c r="C33" s="4">
        <v>63</v>
      </c>
      <c r="D33" s="4">
        <f>C33+1</f>
        <v>64</v>
      </c>
      <c r="E33" s="4">
        <f t="shared" ref="E33:AX33" si="0">D33+1</f>
        <v>65</v>
      </c>
      <c r="F33" s="4">
        <f t="shared" si="0"/>
        <v>66</v>
      </c>
      <c r="G33" s="4">
        <f t="shared" si="0"/>
        <v>67</v>
      </c>
      <c r="H33" s="4">
        <f t="shared" si="0"/>
        <v>68</v>
      </c>
      <c r="I33" s="4">
        <f t="shared" si="0"/>
        <v>69</v>
      </c>
      <c r="J33" s="4">
        <f t="shared" si="0"/>
        <v>70</v>
      </c>
      <c r="K33" s="3"/>
      <c r="L33" s="4">
        <f>J33+1</f>
        <v>71</v>
      </c>
      <c r="M33" s="4">
        <f t="shared" si="0"/>
        <v>72</v>
      </c>
      <c r="N33" s="4">
        <f t="shared" si="0"/>
        <v>73</v>
      </c>
      <c r="O33" s="4">
        <f t="shared" si="0"/>
        <v>74</v>
      </c>
      <c r="P33" s="4">
        <f t="shared" si="0"/>
        <v>75</v>
      </c>
      <c r="Q33" s="4">
        <f t="shared" si="0"/>
        <v>76</v>
      </c>
      <c r="R33" s="4">
        <f t="shared" si="0"/>
        <v>77</v>
      </c>
      <c r="S33" s="4">
        <f t="shared" si="0"/>
        <v>78</v>
      </c>
      <c r="T33" s="4">
        <f t="shared" si="0"/>
        <v>79</v>
      </c>
      <c r="U33" s="4">
        <f t="shared" si="0"/>
        <v>80</v>
      </c>
      <c r="V33" s="4">
        <f t="shared" si="0"/>
        <v>81</v>
      </c>
      <c r="W33" s="4">
        <f t="shared" si="0"/>
        <v>82</v>
      </c>
      <c r="X33" s="4">
        <f t="shared" si="0"/>
        <v>83</v>
      </c>
      <c r="Y33" s="4">
        <f t="shared" si="0"/>
        <v>84</v>
      </c>
      <c r="Z33" s="4">
        <f t="shared" si="0"/>
        <v>85</v>
      </c>
      <c r="AA33" s="4">
        <f t="shared" si="0"/>
        <v>86</v>
      </c>
      <c r="AB33" s="4">
        <f t="shared" si="0"/>
        <v>87</v>
      </c>
      <c r="AC33" s="4">
        <f t="shared" si="0"/>
        <v>88</v>
      </c>
      <c r="AD33" s="4">
        <f t="shared" si="0"/>
        <v>89</v>
      </c>
      <c r="AE33" s="4">
        <f t="shared" si="0"/>
        <v>90</v>
      </c>
      <c r="AF33" s="4">
        <f t="shared" si="0"/>
        <v>91</v>
      </c>
      <c r="AG33" s="4">
        <f t="shared" si="0"/>
        <v>92</v>
      </c>
      <c r="AH33" s="4">
        <f t="shared" si="0"/>
        <v>93</v>
      </c>
      <c r="AI33" s="4">
        <f t="shared" si="0"/>
        <v>94</v>
      </c>
      <c r="AJ33" s="4">
        <f t="shared" si="0"/>
        <v>95</v>
      </c>
      <c r="AK33" s="4">
        <f t="shared" si="0"/>
        <v>96</v>
      </c>
      <c r="AL33" s="4">
        <f t="shared" si="0"/>
        <v>97</v>
      </c>
      <c r="AM33" s="4">
        <f t="shared" si="0"/>
        <v>98</v>
      </c>
      <c r="AN33" s="4">
        <f t="shared" si="0"/>
        <v>99</v>
      </c>
      <c r="AO33" s="4">
        <f t="shared" si="0"/>
        <v>100</v>
      </c>
      <c r="AP33" s="4">
        <f t="shared" si="0"/>
        <v>101</v>
      </c>
      <c r="AQ33" s="4">
        <f t="shared" si="0"/>
        <v>102</v>
      </c>
      <c r="AR33" s="4">
        <f t="shared" si="0"/>
        <v>103</v>
      </c>
      <c r="AS33" s="4">
        <f t="shared" si="0"/>
        <v>104</v>
      </c>
      <c r="AT33" s="4">
        <f t="shared" si="0"/>
        <v>105</v>
      </c>
      <c r="AU33" s="4">
        <f t="shared" si="0"/>
        <v>106</v>
      </c>
      <c r="AV33" s="4">
        <f t="shared" si="0"/>
        <v>107</v>
      </c>
      <c r="AW33" s="4">
        <f t="shared" si="0"/>
        <v>108</v>
      </c>
      <c r="AX33" s="4">
        <f t="shared" si="0"/>
        <v>109</v>
      </c>
    </row>
    <row r="34" spans="2:50" x14ac:dyDescent="0.25">
      <c r="B34" s="1" t="s">
        <v>0</v>
      </c>
      <c r="C34" s="2">
        <f>$C$4</f>
        <v>30253</v>
      </c>
      <c r="D34" s="2">
        <f>$C$4</f>
        <v>30253</v>
      </c>
      <c r="E34" s="2">
        <f>$C$4</f>
        <v>30253</v>
      </c>
      <c r="F34" s="2">
        <f>$C$4</f>
        <v>30253</v>
      </c>
      <c r="G34" s="2">
        <f>$C$5</f>
        <v>17264</v>
      </c>
      <c r="H34" s="2">
        <f>$C$5</f>
        <v>17264</v>
      </c>
      <c r="I34" s="2">
        <f>$C$5</f>
        <v>17264</v>
      </c>
      <c r="J34" s="2">
        <f>$C$5</f>
        <v>17264</v>
      </c>
      <c r="K34" s="2"/>
      <c r="L34" s="2">
        <f t="shared" ref="L34:AX34" si="1">$C$5</f>
        <v>17264</v>
      </c>
      <c r="M34" s="2">
        <f t="shared" si="1"/>
        <v>17264</v>
      </c>
      <c r="N34" s="2">
        <f t="shared" si="1"/>
        <v>17264</v>
      </c>
      <c r="O34" s="2">
        <f t="shared" si="1"/>
        <v>17264</v>
      </c>
      <c r="P34" s="2">
        <f t="shared" si="1"/>
        <v>17264</v>
      </c>
      <c r="Q34" s="2">
        <f t="shared" si="1"/>
        <v>17264</v>
      </c>
      <c r="R34" s="2">
        <f t="shared" si="1"/>
        <v>17264</v>
      </c>
      <c r="S34" s="2">
        <f t="shared" si="1"/>
        <v>17264</v>
      </c>
      <c r="T34" s="2">
        <f t="shared" si="1"/>
        <v>17264</v>
      </c>
      <c r="U34" s="2">
        <f t="shared" si="1"/>
        <v>17264</v>
      </c>
      <c r="V34" s="2">
        <f t="shared" si="1"/>
        <v>17264</v>
      </c>
      <c r="W34" s="2">
        <f t="shared" si="1"/>
        <v>17264</v>
      </c>
      <c r="X34" s="2">
        <f t="shared" si="1"/>
        <v>17264</v>
      </c>
      <c r="Y34" s="2">
        <f t="shared" si="1"/>
        <v>17264</v>
      </c>
      <c r="Z34" s="2">
        <f t="shared" si="1"/>
        <v>17264</v>
      </c>
      <c r="AA34" s="2">
        <f t="shared" si="1"/>
        <v>17264</v>
      </c>
      <c r="AB34" s="2">
        <f t="shared" si="1"/>
        <v>17264</v>
      </c>
      <c r="AC34" s="2">
        <f t="shared" si="1"/>
        <v>17264</v>
      </c>
      <c r="AD34" s="2">
        <f t="shared" si="1"/>
        <v>17264</v>
      </c>
      <c r="AE34" s="2">
        <f t="shared" si="1"/>
        <v>17264</v>
      </c>
      <c r="AF34" s="2">
        <f t="shared" si="1"/>
        <v>17264</v>
      </c>
      <c r="AG34" s="2">
        <f t="shared" si="1"/>
        <v>17264</v>
      </c>
      <c r="AH34" s="2">
        <f t="shared" si="1"/>
        <v>17264</v>
      </c>
      <c r="AI34" s="2">
        <f t="shared" si="1"/>
        <v>17264</v>
      </c>
      <c r="AJ34" s="2">
        <f t="shared" si="1"/>
        <v>17264</v>
      </c>
      <c r="AK34" s="2">
        <f t="shared" si="1"/>
        <v>17264</v>
      </c>
      <c r="AL34" s="2">
        <f t="shared" si="1"/>
        <v>17264</v>
      </c>
      <c r="AM34" s="2">
        <f t="shared" si="1"/>
        <v>17264</v>
      </c>
      <c r="AN34" s="2">
        <f t="shared" si="1"/>
        <v>17264</v>
      </c>
      <c r="AO34" s="2">
        <f t="shared" si="1"/>
        <v>17264</v>
      </c>
      <c r="AP34" s="2">
        <f t="shared" si="1"/>
        <v>17264</v>
      </c>
      <c r="AQ34" s="2">
        <f t="shared" si="1"/>
        <v>17264</v>
      </c>
      <c r="AR34" s="2">
        <f t="shared" si="1"/>
        <v>17264</v>
      </c>
      <c r="AS34" s="2">
        <f t="shared" si="1"/>
        <v>17264</v>
      </c>
      <c r="AT34" s="2">
        <f t="shared" si="1"/>
        <v>17264</v>
      </c>
      <c r="AU34" s="2">
        <f t="shared" si="1"/>
        <v>17264</v>
      </c>
      <c r="AV34" s="2">
        <f t="shared" si="1"/>
        <v>17264</v>
      </c>
      <c r="AW34" s="2">
        <f t="shared" si="1"/>
        <v>17264</v>
      </c>
      <c r="AX34" s="2">
        <f t="shared" si="1"/>
        <v>17264</v>
      </c>
    </row>
    <row r="35" spans="2:50" x14ac:dyDescent="0.25">
      <c r="B35" s="1" t="s">
        <v>31</v>
      </c>
      <c r="C35" s="2">
        <v>27000</v>
      </c>
      <c r="D35" s="2">
        <v>27000</v>
      </c>
      <c r="E35" s="2">
        <v>27000</v>
      </c>
      <c r="F35" s="2">
        <v>27000</v>
      </c>
      <c r="G35" s="2">
        <v>25000</v>
      </c>
      <c r="H35" s="2">
        <v>25000</v>
      </c>
      <c r="I35" s="2">
        <v>25000</v>
      </c>
      <c r="J35" s="2">
        <v>25000</v>
      </c>
      <c r="K35" s="2"/>
      <c r="L35" s="10">
        <f>J35</f>
        <v>25000</v>
      </c>
      <c r="M35" s="10">
        <f>L35</f>
        <v>25000</v>
      </c>
      <c r="N35" s="10">
        <f t="shared" ref="N35:AX35" si="2">M35</f>
        <v>25000</v>
      </c>
      <c r="O35" s="10">
        <f t="shared" si="2"/>
        <v>25000</v>
      </c>
      <c r="P35" s="10">
        <f t="shared" si="2"/>
        <v>25000</v>
      </c>
      <c r="Q35" s="10">
        <f t="shared" si="2"/>
        <v>25000</v>
      </c>
      <c r="R35" s="10">
        <f t="shared" si="2"/>
        <v>25000</v>
      </c>
      <c r="S35" s="10">
        <f t="shared" si="2"/>
        <v>25000</v>
      </c>
      <c r="T35" s="10">
        <f t="shared" si="2"/>
        <v>25000</v>
      </c>
      <c r="U35" s="10">
        <f t="shared" si="2"/>
        <v>25000</v>
      </c>
      <c r="V35" s="10">
        <f t="shared" si="2"/>
        <v>25000</v>
      </c>
      <c r="W35" s="10">
        <f t="shared" si="2"/>
        <v>25000</v>
      </c>
      <c r="X35" s="10">
        <f t="shared" si="2"/>
        <v>25000</v>
      </c>
      <c r="Y35" s="10">
        <f t="shared" si="2"/>
        <v>25000</v>
      </c>
      <c r="Z35" s="10">
        <f t="shared" si="2"/>
        <v>25000</v>
      </c>
      <c r="AA35" s="10">
        <f t="shared" si="2"/>
        <v>25000</v>
      </c>
      <c r="AB35" s="10">
        <f t="shared" si="2"/>
        <v>25000</v>
      </c>
      <c r="AC35" s="10">
        <f t="shared" si="2"/>
        <v>25000</v>
      </c>
      <c r="AD35" s="10">
        <f t="shared" si="2"/>
        <v>25000</v>
      </c>
      <c r="AE35" s="10">
        <f t="shared" si="2"/>
        <v>25000</v>
      </c>
      <c r="AF35" s="10">
        <f t="shared" si="2"/>
        <v>25000</v>
      </c>
      <c r="AG35" s="10">
        <f t="shared" si="2"/>
        <v>25000</v>
      </c>
      <c r="AH35" s="10">
        <f t="shared" si="2"/>
        <v>25000</v>
      </c>
      <c r="AI35" s="10">
        <f t="shared" si="2"/>
        <v>25000</v>
      </c>
      <c r="AJ35" s="10">
        <f t="shared" si="2"/>
        <v>25000</v>
      </c>
      <c r="AK35" s="10">
        <f t="shared" si="2"/>
        <v>25000</v>
      </c>
      <c r="AL35" s="10">
        <f t="shared" si="2"/>
        <v>25000</v>
      </c>
      <c r="AM35" s="10">
        <f t="shared" si="2"/>
        <v>25000</v>
      </c>
      <c r="AN35" s="10">
        <f t="shared" si="2"/>
        <v>25000</v>
      </c>
      <c r="AO35" s="10">
        <f t="shared" si="2"/>
        <v>25000</v>
      </c>
      <c r="AP35" s="10">
        <f t="shared" si="2"/>
        <v>25000</v>
      </c>
      <c r="AQ35" s="10">
        <f t="shared" si="2"/>
        <v>25000</v>
      </c>
      <c r="AR35" s="10">
        <f t="shared" si="2"/>
        <v>25000</v>
      </c>
      <c r="AS35" s="10">
        <f t="shared" si="2"/>
        <v>25000</v>
      </c>
      <c r="AT35" s="10">
        <f t="shared" si="2"/>
        <v>25000</v>
      </c>
      <c r="AU35" s="10">
        <f t="shared" si="2"/>
        <v>25000</v>
      </c>
      <c r="AV35" s="10">
        <f t="shared" si="2"/>
        <v>25000</v>
      </c>
      <c r="AW35" s="10">
        <f t="shared" si="2"/>
        <v>25000</v>
      </c>
      <c r="AX35" s="10">
        <f t="shared" si="2"/>
        <v>25000</v>
      </c>
    </row>
    <row r="36" spans="2:50" x14ac:dyDescent="0.25">
      <c r="B36" s="1" t="s">
        <v>2</v>
      </c>
      <c r="C36" s="2">
        <f t="shared" ref="C36:J36" si="3">C34-C40+C39</f>
        <v>49253</v>
      </c>
      <c r="D36" s="2">
        <f t="shared" si="3"/>
        <v>-747</v>
      </c>
      <c r="E36" s="2">
        <f t="shared" si="3"/>
        <v>-747</v>
      </c>
      <c r="F36" s="2">
        <f t="shared" si="3"/>
        <v>-747</v>
      </c>
      <c r="G36" s="2">
        <f t="shared" si="3"/>
        <v>-9736</v>
      </c>
      <c r="H36" s="2">
        <f t="shared" si="3"/>
        <v>-9736</v>
      </c>
      <c r="I36" s="2">
        <f t="shared" si="3"/>
        <v>-9736</v>
      </c>
      <c r="J36" s="2">
        <f t="shared" si="3"/>
        <v>-9736</v>
      </c>
      <c r="K36" s="2"/>
      <c r="L36" s="2">
        <f t="shared" ref="L36:AX36" si="4">L34-L40+L39</f>
        <v>-9736</v>
      </c>
      <c r="M36" s="2">
        <f t="shared" si="4"/>
        <v>-9736</v>
      </c>
      <c r="N36" s="2">
        <f t="shared" si="4"/>
        <v>-9736</v>
      </c>
      <c r="O36" s="2">
        <f t="shared" si="4"/>
        <v>-9736</v>
      </c>
      <c r="P36" s="2">
        <f t="shared" si="4"/>
        <v>-9736</v>
      </c>
      <c r="Q36" s="2">
        <f t="shared" si="4"/>
        <v>-9736</v>
      </c>
      <c r="R36" s="2">
        <f t="shared" si="4"/>
        <v>-9736</v>
      </c>
      <c r="S36" s="2">
        <f t="shared" si="4"/>
        <v>-9736</v>
      </c>
      <c r="T36" s="2">
        <f t="shared" si="4"/>
        <v>-9736</v>
      </c>
      <c r="U36" s="2">
        <f t="shared" si="4"/>
        <v>-9736</v>
      </c>
      <c r="V36" s="2">
        <f t="shared" si="4"/>
        <v>-9736</v>
      </c>
      <c r="W36" s="2">
        <f t="shared" si="4"/>
        <v>-9736</v>
      </c>
      <c r="X36" s="2">
        <f t="shared" si="4"/>
        <v>-9736</v>
      </c>
      <c r="Y36" s="2">
        <f t="shared" si="4"/>
        <v>-9736</v>
      </c>
      <c r="Z36" s="2">
        <f t="shared" si="4"/>
        <v>-9736</v>
      </c>
      <c r="AA36" s="2">
        <f t="shared" si="4"/>
        <v>-9736</v>
      </c>
      <c r="AB36" s="2">
        <f t="shared" si="4"/>
        <v>-9736</v>
      </c>
      <c r="AC36" s="2">
        <f t="shared" si="4"/>
        <v>-9736</v>
      </c>
      <c r="AD36" s="2">
        <f t="shared" si="4"/>
        <v>-9736</v>
      </c>
      <c r="AE36" s="2">
        <f t="shared" si="4"/>
        <v>-9736</v>
      </c>
      <c r="AF36" s="2">
        <f t="shared" si="4"/>
        <v>-9736</v>
      </c>
      <c r="AG36" s="2">
        <f t="shared" si="4"/>
        <v>-9736</v>
      </c>
      <c r="AH36" s="2">
        <f t="shared" si="4"/>
        <v>-9736</v>
      </c>
      <c r="AI36" s="2">
        <f t="shared" si="4"/>
        <v>-9736</v>
      </c>
      <c r="AJ36" s="2">
        <f t="shared" si="4"/>
        <v>-9736</v>
      </c>
      <c r="AK36" s="2">
        <f t="shared" si="4"/>
        <v>-9736</v>
      </c>
      <c r="AL36" s="2">
        <f t="shared" si="4"/>
        <v>-9736</v>
      </c>
      <c r="AM36" s="2">
        <f t="shared" si="4"/>
        <v>-9736</v>
      </c>
      <c r="AN36" s="2">
        <f t="shared" si="4"/>
        <v>-9736</v>
      </c>
      <c r="AO36" s="2">
        <f t="shared" si="4"/>
        <v>-9736</v>
      </c>
      <c r="AP36" s="2">
        <f t="shared" si="4"/>
        <v>-9736</v>
      </c>
      <c r="AQ36" s="2">
        <f t="shared" si="4"/>
        <v>-9736</v>
      </c>
      <c r="AR36" s="2">
        <f t="shared" si="4"/>
        <v>-9736</v>
      </c>
      <c r="AS36" s="2">
        <f t="shared" si="4"/>
        <v>-9736</v>
      </c>
      <c r="AT36" s="2">
        <f t="shared" si="4"/>
        <v>-9736</v>
      </c>
      <c r="AU36" s="2">
        <f t="shared" si="4"/>
        <v>-9736</v>
      </c>
      <c r="AV36" s="2">
        <f t="shared" si="4"/>
        <v>-9736</v>
      </c>
      <c r="AW36" s="2">
        <f t="shared" si="4"/>
        <v>-9736</v>
      </c>
      <c r="AX36" s="2">
        <f t="shared" si="4"/>
        <v>-9736</v>
      </c>
    </row>
    <row r="37" spans="2:50" x14ac:dyDescent="0.25">
      <c r="B37" s="1" t="s">
        <v>14</v>
      </c>
      <c r="C37" s="6">
        <f>$C$3+C36</f>
        <v>169253</v>
      </c>
      <c r="D37" s="2">
        <f t="shared" ref="D37:J37" si="5">C37*(1+$C$6)+D36</f>
        <v>173583.59</v>
      </c>
      <c r="E37" s="2">
        <f t="shared" si="5"/>
        <v>178044.09770000001</v>
      </c>
      <c r="F37" s="2">
        <f t="shared" si="5"/>
        <v>182638.42063100002</v>
      </c>
      <c r="G37" s="2">
        <f t="shared" si="5"/>
        <v>178381.57324993002</v>
      </c>
      <c r="H37" s="2">
        <f t="shared" si="5"/>
        <v>173997.02044742793</v>
      </c>
      <c r="I37" s="2">
        <f t="shared" si="5"/>
        <v>169480.93106085077</v>
      </c>
      <c r="J37" s="11">
        <f t="shared" si="5"/>
        <v>164829.35899267628</v>
      </c>
      <c r="K37" s="2"/>
      <c r="L37" s="2">
        <f>J37*(1+$C$6)+L36</f>
        <v>160038.23976245656</v>
      </c>
      <c r="M37" s="2">
        <f t="shared" ref="M37:AX37" si="6">L37*(1+$C$6)+M36</f>
        <v>155103.38695533026</v>
      </c>
      <c r="N37" s="2">
        <f t="shared" si="6"/>
        <v>150020.48856399019</v>
      </c>
      <c r="O37" s="2">
        <f t="shared" si="6"/>
        <v>144785.10322090989</v>
      </c>
      <c r="P37" s="2">
        <f t="shared" si="6"/>
        <v>139392.65631753718</v>
      </c>
      <c r="Q37" s="2">
        <f t="shared" si="6"/>
        <v>133838.43600706331</v>
      </c>
      <c r="R37" s="2">
        <f t="shared" si="6"/>
        <v>128117.58908727521</v>
      </c>
      <c r="S37" s="2">
        <f t="shared" si="6"/>
        <v>122225.11675989346</v>
      </c>
      <c r="T37" s="2">
        <f t="shared" si="6"/>
        <v>116155.87026269027</v>
      </c>
      <c r="U37" s="2">
        <f t="shared" si="6"/>
        <v>109904.54637057098</v>
      </c>
      <c r="V37" s="2">
        <f t="shared" si="6"/>
        <v>103465.68276168812</v>
      </c>
      <c r="W37" s="2">
        <f t="shared" si="6"/>
        <v>96833.653244538771</v>
      </c>
      <c r="X37" s="2">
        <f t="shared" si="6"/>
        <v>90002.662841874931</v>
      </c>
      <c r="Y37" s="2">
        <f t="shared" si="6"/>
        <v>82966.742727131175</v>
      </c>
      <c r="Z37" s="2">
        <f t="shared" si="6"/>
        <v>75719.745008945116</v>
      </c>
      <c r="AA37" s="2">
        <f t="shared" si="6"/>
        <v>68255.337359213474</v>
      </c>
      <c r="AB37" s="2">
        <f t="shared" si="6"/>
        <v>60566.997479989877</v>
      </c>
      <c r="AC37" s="2">
        <f t="shared" si="6"/>
        <v>52648.007404389573</v>
      </c>
      <c r="AD37" s="2">
        <f t="shared" si="6"/>
        <v>44491.447626521258</v>
      </c>
      <c r="AE37" s="2">
        <f t="shared" si="6"/>
        <v>36090.1910553169</v>
      </c>
      <c r="AF37" s="2">
        <f t="shared" si="6"/>
        <v>27436.896786976409</v>
      </c>
      <c r="AG37" s="2">
        <f t="shared" si="6"/>
        <v>18524.003690585701</v>
      </c>
      <c r="AH37" s="2">
        <f t="shared" si="6"/>
        <v>9343.7238013032729</v>
      </c>
      <c r="AI37" s="2">
        <f t="shared" si="6"/>
        <v>-111.96448465762842</v>
      </c>
      <c r="AJ37" s="2">
        <f t="shared" si="6"/>
        <v>-9851.323419197357</v>
      </c>
      <c r="AK37" s="2">
        <f t="shared" si="6"/>
        <v>-19882.863121773276</v>
      </c>
      <c r="AL37" s="2">
        <f t="shared" si="6"/>
        <v>-30215.349015426476</v>
      </c>
      <c r="AM37" s="2">
        <f t="shared" si="6"/>
        <v>-40857.809485889273</v>
      </c>
      <c r="AN37" s="2">
        <f t="shared" si="6"/>
        <v>-51819.543770465949</v>
      </c>
      <c r="AO37" s="2">
        <f t="shared" si="6"/>
        <v>-63110.130083579927</v>
      </c>
      <c r="AP37" s="2">
        <f t="shared" si="6"/>
        <v>-74739.43398608733</v>
      </c>
      <c r="AQ37" s="2">
        <f t="shared" si="6"/>
        <v>-86717.617005669948</v>
      </c>
      <c r="AR37" s="2">
        <f t="shared" si="6"/>
        <v>-99055.145515840049</v>
      </c>
      <c r="AS37" s="2">
        <f t="shared" si="6"/>
        <v>-111762.79988131525</v>
      </c>
      <c r="AT37" s="2">
        <f t="shared" si="6"/>
        <v>-124851.68387775471</v>
      </c>
      <c r="AU37" s="2">
        <f t="shared" si="6"/>
        <v>-138333.23439408734</v>
      </c>
      <c r="AV37" s="2">
        <f t="shared" si="6"/>
        <v>-152219.23142590997</v>
      </c>
      <c r="AW37" s="2">
        <f t="shared" si="6"/>
        <v>-166521.80836868726</v>
      </c>
      <c r="AX37" s="2">
        <f t="shared" si="6"/>
        <v>-181253.46261974788</v>
      </c>
    </row>
    <row r="39" spans="2:50" x14ac:dyDescent="0.25">
      <c r="B39" s="1" t="s">
        <v>12</v>
      </c>
      <c r="C39" s="11">
        <v>50000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/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</row>
    <row r="40" spans="2:50" x14ac:dyDescent="0.25">
      <c r="B40" s="1" t="s">
        <v>36</v>
      </c>
      <c r="C40" s="7">
        <v>31000</v>
      </c>
      <c r="D40" s="7">
        <v>31000</v>
      </c>
      <c r="E40" s="7">
        <v>31000</v>
      </c>
      <c r="F40" s="7">
        <v>31000</v>
      </c>
      <c r="G40" s="7">
        <v>27000</v>
      </c>
      <c r="H40" s="7">
        <v>27000</v>
      </c>
      <c r="I40" s="7">
        <v>27000</v>
      </c>
      <c r="J40" s="7">
        <v>27000</v>
      </c>
      <c r="K40" s="2"/>
      <c r="L40" s="10">
        <f>J40</f>
        <v>27000</v>
      </c>
      <c r="M40" s="10">
        <f>L40</f>
        <v>27000</v>
      </c>
      <c r="N40" s="10">
        <f t="shared" ref="N40:AX40" si="7">M40</f>
        <v>27000</v>
      </c>
      <c r="O40" s="10">
        <f t="shared" si="7"/>
        <v>27000</v>
      </c>
      <c r="P40" s="10">
        <f t="shared" si="7"/>
        <v>27000</v>
      </c>
      <c r="Q40" s="10">
        <f t="shared" si="7"/>
        <v>27000</v>
      </c>
      <c r="R40" s="10">
        <f t="shared" si="7"/>
        <v>27000</v>
      </c>
      <c r="S40" s="10">
        <f t="shared" si="7"/>
        <v>27000</v>
      </c>
      <c r="T40" s="10">
        <f t="shared" si="7"/>
        <v>27000</v>
      </c>
      <c r="U40" s="10">
        <f t="shared" si="7"/>
        <v>27000</v>
      </c>
      <c r="V40" s="10">
        <f t="shared" si="7"/>
        <v>27000</v>
      </c>
      <c r="W40" s="10">
        <f t="shared" si="7"/>
        <v>27000</v>
      </c>
      <c r="X40" s="10">
        <f t="shared" si="7"/>
        <v>27000</v>
      </c>
      <c r="Y40" s="10">
        <f t="shared" si="7"/>
        <v>27000</v>
      </c>
      <c r="Z40" s="10">
        <f t="shared" si="7"/>
        <v>27000</v>
      </c>
      <c r="AA40" s="10">
        <f t="shared" si="7"/>
        <v>27000</v>
      </c>
      <c r="AB40" s="10">
        <f t="shared" si="7"/>
        <v>27000</v>
      </c>
      <c r="AC40" s="10">
        <f t="shared" si="7"/>
        <v>27000</v>
      </c>
      <c r="AD40" s="10">
        <f t="shared" si="7"/>
        <v>27000</v>
      </c>
      <c r="AE40" s="10">
        <f t="shared" si="7"/>
        <v>27000</v>
      </c>
      <c r="AF40" s="10">
        <f t="shared" si="7"/>
        <v>27000</v>
      </c>
      <c r="AG40" s="10">
        <f t="shared" si="7"/>
        <v>27000</v>
      </c>
      <c r="AH40" s="10">
        <f t="shared" si="7"/>
        <v>27000</v>
      </c>
      <c r="AI40" s="10">
        <f t="shared" si="7"/>
        <v>27000</v>
      </c>
      <c r="AJ40" s="10">
        <f t="shared" si="7"/>
        <v>27000</v>
      </c>
      <c r="AK40" s="10">
        <f t="shared" si="7"/>
        <v>27000</v>
      </c>
      <c r="AL40" s="10">
        <f t="shared" si="7"/>
        <v>27000</v>
      </c>
      <c r="AM40" s="10">
        <f t="shared" si="7"/>
        <v>27000</v>
      </c>
      <c r="AN40" s="10">
        <f t="shared" si="7"/>
        <v>27000</v>
      </c>
      <c r="AO40" s="10">
        <f t="shared" si="7"/>
        <v>27000</v>
      </c>
      <c r="AP40" s="10">
        <f t="shared" si="7"/>
        <v>27000</v>
      </c>
      <c r="AQ40" s="10">
        <f t="shared" si="7"/>
        <v>27000</v>
      </c>
      <c r="AR40" s="10">
        <f t="shared" si="7"/>
        <v>27000</v>
      </c>
      <c r="AS40" s="10">
        <f t="shared" si="7"/>
        <v>27000</v>
      </c>
      <c r="AT40" s="10">
        <f t="shared" si="7"/>
        <v>27000</v>
      </c>
      <c r="AU40" s="10">
        <f t="shared" si="7"/>
        <v>27000</v>
      </c>
      <c r="AV40" s="10">
        <f t="shared" si="7"/>
        <v>27000</v>
      </c>
      <c r="AW40" s="10">
        <f t="shared" si="7"/>
        <v>27000</v>
      </c>
      <c r="AX40" s="10">
        <f t="shared" si="7"/>
        <v>27000</v>
      </c>
    </row>
  </sheetData>
  <mergeCells count="3">
    <mergeCell ref="C32:F32"/>
    <mergeCell ref="G32:J32"/>
    <mergeCell ref="L14:N2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1BA4B-3253-4C71-B894-5EE305EF3013}">
  <dimension ref="B2:AX40"/>
  <sheetViews>
    <sheetView workbookViewId="0">
      <selection activeCell="E40" sqref="E40"/>
    </sheetView>
  </sheetViews>
  <sheetFormatPr defaultRowHeight="15" x14ac:dyDescent="0.25"/>
  <cols>
    <col min="2" max="2" width="46.7109375" style="1" customWidth="1"/>
    <col min="3" max="9" width="15.7109375" customWidth="1"/>
    <col min="10" max="10" width="12.7109375" customWidth="1"/>
    <col min="11" max="11" width="4.7109375" customWidth="1"/>
    <col min="12" max="50" width="12.7109375" customWidth="1"/>
  </cols>
  <sheetData>
    <row r="2" spans="2:14" x14ac:dyDescent="0.25">
      <c r="B2" s="3" t="s">
        <v>17</v>
      </c>
    </row>
    <row r="3" spans="2:14" x14ac:dyDescent="0.25">
      <c r="B3" s="1" t="s">
        <v>9</v>
      </c>
      <c r="C3" s="8">
        <v>120000</v>
      </c>
    </row>
    <row r="4" spans="2:14" x14ac:dyDescent="0.25">
      <c r="B4" s="1" t="s">
        <v>7</v>
      </c>
      <c r="C4" s="8">
        <v>30253</v>
      </c>
    </row>
    <row r="5" spans="2:14" x14ac:dyDescent="0.25">
      <c r="B5" s="1" t="s">
        <v>8</v>
      </c>
      <c r="C5" s="8">
        <v>17264</v>
      </c>
    </row>
    <row r="6" spans="2:14" x14ac:dyDescent="0.25">
      <c r="B6" s="1" t="s">
        <v>6</v>
      </c>
      <c r="C6" s="9">
        <v>0.03</v>
      </c>
    </row>
    <row r="7" spans="2:14" x14ac:dyDescent="0.25">
      <c r="B7" s="1" t="s">
        <v>13</v>
      </c>
      <c r="C7" s="8">
        <v>50000</v>
      </c>
    </row>
    <row r="8" spans="2:14" x14ac:dyDescent="0.25">
      <c r="B8" s="1" t="s">
        <v>10</v>
      </c>
      <c r="C8" t="s">
        <v>11</v>
      </c>
    </row>
    <row r="9" spans="2:14" x14ac:dyDescent="0.25">
      <c r="C9" s="19" t="s">
        <v>23</v>
      </c>
    </row>
    <row r="10" spans="2:14" s="16" customFormat="1" ht="15.75" thickBot="1" x14ac:dyDescent="0.3"/>
    <row r="11" spans="2:14" ht="15.75" thickTop="1" x14ac:dyDescent="0.25"/>
    <row r="12" spans="2:14" x14ac:dyDescent="0.25">
      <c r="B12" s="3" t="s">
        <v>19</v>
      </c>
      <c r="C12" s="18" t="s">
        <v>34</v>
      </c>
    </row>
    <row r="13" spans="2:14" ht="15.75" thickBot="1" x14ac:dyDescent="0.3"/>
    <row r="14" spans="2:14" ht="15" customHeight="1" x14ac:dyDescent="0.25">
      <c r="L14" s="21" t="s">
        <v>26</v>
      </c>
      <c r="M14" s="22"/>
      <c r="N14" s="23"/>
    </row>
    <row r="15" spans="2:14" x14ac:dyDescent="0.25">
      <c r="L15" s="24"/>
      <c r="M15" s="25"/>
      <c r="N15" s="26"/>
    </row>
    <row r="16" spans="2:14" x14ac:dyDescent="0.25">
      <c r="L16" s="24"/>
      <c r="M16" s="25"/>
      <c r="N16" s="26"/>
    </row>
    <row r="17" spans="2:14" x14ac:dyDescent="0.25">
      <c r="L17" s="24"/>
      <c r="M17" s="25"/>
      <c r="N17" s="26"/>
    </row>
    <row r="18" spans="2:14" x14ac:dyDescent="0.25">
      <c r="L18" s="24"/>
      <c r="M18" s="25"/>
      <c r="N18" s="26"/>
    </row>
    <row r="19" spans="2:14" x14ac:dyDescent="0.25">
      <c r="L19" s="24"/>
      <c r="M19" s="25"/>
      <c r="N19" s="26"/>
    </row>
    <row r="20" spans="2:14" x14ac:dyDescent="0.25">
      <c r="L20" s="24"/>
      <c r="M20" s="25"/>
      <c r="N20" s="26"/>
    </row>
    <row r="21" spans="2:14" x14ac:dyDescent="0.25">
      <c r="L21" s="24"/>
      <c r="M21" s="25"/>
      <c r="N21" s="26"/>
    </row>
    <row r="22" spans="2:14" x14ac:dyDescent="0.25">
      <c r="L22" s="24"/>
      <c r="M22" s="25"/>
      <c r="N22" s="26"/>
    </row>
    <row r="23" spans="2:14" x14ac:dyDescent="0.25">
      <c r="L23" s="24"/>
      <c r="M23" s="25"/>
      <c r="N23" s="26"/>
    </row>
    <row r="24" spans="2:14" x14ac:dyDescent="0.25">
      <c r="L24" s="24"/>
      <c r="M24" s="25"/>
      <c r="N24" s="26"/>
    </row>
    <row r="25" spans="2:14" x14ac:dyDescent="0.25">
      <c r="L25" s="24"/>
      <c r="M25" s="25"/>
      <c r="N25" s="26"/>
    </row>
    <row r="26" spans="2:14" x14ac:dyDescent="0.25">
      <c r="L26" s="24"/>
      <c r="M26" s="25"/>
      <c r="N26" s="26"/>
    </row>
    <row r="27" spans="2:14" x14ac:dyDescent="0.25">
      <c r="L27" s="24"/>
      <c r="M27" s="25"/>
      <c r="N27" s="26"/>
    </row>
    <row r="28" spans="2:14" x14ac:dyDescent="0.25">
      <c r="L28" s="24"/>
      <c r="M28" s="25"/>
      <c r="N28" s="26"/>
    </row>
    <row r="29" spans="2:14" ht="15.75" thickBot="1" x14ac:dyDescent="0.3">
      <c r="L29" s="27"/>
      <c r="M29" s="28"/>
      <c r="N29" s="29"/>
    </row>
    <row r="31" spans="2:14" x14ac:dyDescent="0.25">
      <c r="B31" s="13"/>
      <c r="C31" s="12"/>
    </row>
    <row r="32" spans="2:14" ht="15" customHeight="1" x14ac:dyDescent="0.25">
      <c r="B32" s="3"/>
      <c r="C32" s="20" t="s">
        <v>3</v>
      </c>
      <c r="D32" s="20"/>
      <c r="E32" s="20"/>
      <c r="F32" s="20"/>
      <c r="G32" s="20" t="s">
        <v>4</v>
      </c>
      <c r="H32" s="20"/>
      <c r="I32" s="20"/>
      <c r="J32" s="20"/>
      <c r="K32" s="5"/>
    </row>
    <row r="33" spans="2:50" s="4" customFormat="1" x14ac:dyDescent="0.25">
      <c r="B33" s="4" t="s">
        <v>5</v>
      </c>
      <c r="C33" s="4">
        <v>63</v>
      </c>
      <c r="D33" s="4">
        <f>C33+1</f>
        <v>64</v>
      </c>
      <c r="E33" s="4">
        <f t="shared" ref="E33:AX33" si="0">D33+1</f>
        <v>65</v>
      </c>
      <c r="F33" s="4">
        <f t="shared" si="0"/>
        <v>66</v>
      </c>
      <c r="G33" s="4">
        <f t="shared" si="0"/>
        <v>67</v>
      </c>
      <c r="H33" s="4">
        <f t="shared" si="0"/>
        <v>68</v>
      </c>
      <c r="I33" s="4">
        <f t="shared" si="0"/>
        <v>69</v>
      </c>
      <c r="J33" s="4">
        <f t="shared" si="0"/>
        <v>70</v>
      </c>
      <c r="K33" s="3"/>
      <c r="L33" s="4">
        <f>J33+1</f>
        <v>71</v>
      </c>
      <c r="M33" s="4">
        <f t="shared" si="0"/>
        <v>72</v>
      </c>
      <c r="N33" s="4">
        <f t="shared" si="0"/>
        <v>73</v>
      </c>
      <c r="O33" s="4">
        <f t="shared" si="0"/>
        <v>74</v>
      </c>
      <c r="P33" s="4">
        <f t="shared" si="0"/>
        <v>75</v>
      </c>
      <c r="Q33" s="4">
        <f t="shared" si="0"/>
        <v>76</v>
      </c>
      <c r="R33" s="4">
        <f t="shared" si="0"/>
        <v>77</v>
      </c>
      <c r="S33" s="4">
        <f t="shared" si="0"/>
        <v>78</v>
      </c>
      <c r="T33" s="4">
        <f t="shared" si="0"/>
        <v>79</v>
      </c>
      <c r="U33" s="4">
        <f t="shared" si="0"/>
        <v>80</v>
      </c>
      <c r="V33" s="4">
        <f t="shared" si="0"/>
        <v>81</v>
      </c>
      <c r="W33" s="4">
        <f t="shared" si="0"/>
        <v>82</v>
      </c>
      <c r="X33" s="4">
        <f t="shared" si="0"/>
        <v>83</v>
      </c>
      <c r="Y33" s="4">
        <f t="shared" si="0"/>
        <v>84</v>
      </c>
      <c r="Z33" s="4">
        <f t="shared" si="0"/>
        <v>85</v>
      </c>
      <c r="AA33" s="4">
        <f t="shared" si="0"/>
        <v>86</v>
      </c>
      <c r="AB33" s="4">
        <f t="shared" si="0"/>
        <v>87</v>
      </c>
      <c r="AC33" s="4">
        <f t="shared" si="0"/>
        <v>88</v>
      </c>
      <c r="AD33" s="4">
        <f t="shared" si="0"/>
        <v>89</v>
      </c>
      <c r="AE33" s="4">
        <f t="shared" si="0"/>
        <v>90</v>
      </c>
      <c r="AF33" s="4">
        <f t="shared" si="0"/>
        <v>91</v>
      </c>
      <c r="AG33" s="4">
        <f t="shared" si="0"/>
        <v>92</v>
      </c>
      <c r="AH33" s="4">
        <f t="shared" si="0"/>
        <v>93</v>
      </c>
      <c r="AI33" s="4">
        <f t="shared" si="0"/>
        <v>94</v>
      </c>
      <c r="AJ33" s="4">
        <f t="shared" si="0"/>
        <v>95</v>
      </c>
      <c r="AK33" s="4">
        <f t="shared" si="0"/>
        <v>96</v>
      </c>
      <c r="AL33" s="4">
        <f t="shared" si="0"/>
        <v>97</v>
      </c>
      <c r="AM33" s="4">
        <f t="shared" si="0"/>
        <v>98</v>
      </c>
      <c r="AN33" s="4">
        <f t="shared" si="0"/>
        <v>99</v>
      </c>
      <c r="AO33" s="4">
        <f t="shared" si="0"/>
        <v>100</v>
      </c>
      <c r="AP33" s="4">
        <f t="shared" si="0"/>
        <v>101</v>
      </c>
      <c r="AQ33" s="4">
        <f t="shared" si="0"/>
        <v>102</v>
      </c>
      <c r="AR33" s="4">
        <f t="shared" si="0"/>
        <v>103</v>
      </c>
      <c r="AS33" s="4">
        <f t="shared" si="0"/>
        <v>104</v>
      </c>
      <c r="AT33" s="4">
        <f t="shared" si="0"/>
        <v>105</v>
      </c>
      <c r="AU33" s="4">
        <f t="shared" si="0"/>
        <v>106</v>
      </c>
      <c r="AV33" s="4">
        <f t="shared" si="0"/>
        <v>107</v>
      </c>
      <c r="AW33" s="4">
        <f t="shared" si="0"/>
        <v>108</v>
      </c>
      <c r="AX33" s="4">
        <f t="shared" si="0"/>
        <v>109</v>
      </c>
    </row>
    <row r="34" spans="2:50" x14ac:dyDescent="0.25">
      <c r="B34" s="1" t="s">
        <v>0</v>
      </c>
      <c r="C34" s="2">
        <f>$C$4</f>
        <v>30253</v>
      </c>
      <c r="D34" s="2">
        <f>$C$4</f>
        <v>30253</v>
      </c>
      <c r="E34" s="2">
        <f>$C$4</f>
        <v>30253</v>
      </c>
      <c r="F34" s="2">
        <f>$C$4</f>
        <v>30253</v>
      </c>
      <c r="G34" s="2">
        <f>$C$5</f>
        <v>17264</v>
      </c>
      <c r="H34" s="2">
        <f>$C$5</f>
        <v>17264</v>
      </c>
      <c r="I34" s="2">
        <f>$C$5</f>
        <v>17264</v>
      </c>
      <c r="J34" s="2">
        <f>$C$5</f>
        <v>17264</v>
      </c>
      <c r="K34" s="2"/>
      <c r="L34" s="2">
        <f t="shared" ref="L34:AX34" si="1">$C$5</f>
        <v>17264</v>
      </c>
      <c r="M34" s="2">
        <f t="shared" si="1"/>
        <v>17264</v>
      </c>
      <c r="N34" s="2">
        <f t="shared" si="1"/>
        <v>17264</v>
      </c>
      <c r="O34" s="2">
        <f t="shared" si="1"/>
        <v>17264</v>
      </c>
      <c r="P34" s="2">
        <f t="shared" si="1"/>
        <v>17264</v>
      </c>
      <c r="Q34" s="2">
        <f t="shared" si="1"/>
        <v>17264</v>
      </c>
      <c r="R34" s="2">
        <f t="shared" si="1"/>
        <v>17264</v>
      </c>
      <c r="S34" s="2">
        <f t="shared" si="1"/>
        <v>17264</v>
      </c>
      <c r="T34" s="2">
        <f t="shared" si="1"/>
        <v>17264</v>
      </c>
      <c r="U34" s="2">
        <f t="shared" si="1"/>
        <v>17264</v>
      </c>
      <c r="V34" s="2">
        <f t="shared" si="1"/>
        <v>17264</v>
      </c>
      <c r="W34" s="2">
        <f t="shared" si="1"/>
        <v>17264</v>
      </c>
      <c r="X34" s="2">
        <f t="shared" si="1"/>
        <v>17264</v>
      </c>
      <c r="Y34" s="2">
        <f t="shared" si="1"/>
        <v>17264</v>
      </c>
      <c r="Z34" s="2">
        <f t="shared" si="1"/>
        <v>17264</v>
      </c>
      <c r="AA34" s="2">
        <f t="shared" si="1"/>
        <v>17264</v>
      </c>
      <c r="AB34" s="2">
        <f t="shared" si="1"/>
        <v>17264</v>
      </c>
      <c r="AC34" s="2">
        <f t="shared" si="1"/>
        <v>17264</v>
      </c>
      <c r="AD34" s="2">
        <f t="shared" si="1"/>
        <v>17264</v>
      </c>
      <c r="AE34" s="2">
        <f t="shared" si="1"/>
        <v>17264</v>
      </c>
      <c r="AF34" s="2">
        <f t="shared" si="1"/>
        <v>17264</v>
      </c>
      <c r="AG34" s="2">
        <f t="shared" si="1"/>
        <v>17264</v>
      </c>
      <c r="AH34" s="2">
        <f t="shared" si="1"/>
        <v>17264</v>
      </c>
      <c r="AI34" s="2">
        <f t="shared" si="1"/>
        <v>17264</v>
      </c>
      <c r="AJ34" s="2">
        <f t="shared" si="1"/>
        <v>17264</v>
      </c>
      <c r="AK34" s="2">
        <f t="shared" si="1"/>
        <v>17264</v>
      </c>
      <c r="AL34" s="2">
        <f t="shared" si="1"/>
        <v>17264</v>
      </c>
      <c r="AM34" s="2">
        <f t="shared" si="1"/>
        <v>17264</v>
      </c>
      <c r="AN34" s="2">
        <f t="shared" si="1"/>
        <v>17264</v>
      </c>
      <c r="AO34" s="2">
        <f t="shared" si="1"/>
        <v>17264</v>
      </c>
      <c r="AP34" s="2">
        <f t="shared" si="1"/>
        <v>17264</v>
      </c>
      <c r="AQ34" s="2">
        <f t="shared" si="1"/>
        <v>17264</v>
      </c>
      <c r="AR34" s="2">
        <f t="shared" si="1"/>
        <v>17264</v>
      </c>
      <c r="AS34" s="2">
        <f t="shared" si="1"/>
        <v>17264</v>
      </c>
      <c r="AT34" s="2">
        <f t="shared" si="1"/>
        <v>17264</v>
      </c>
      <c r="AU34" s="2">
        <f t="shared" si="1"/>
        <v>17264</v>
      </c>
      <c r="AV34" s="2">
        <f t="shared" si="1"/>
        <v>17264</v>
      </c>
      <c r="AW34" s="2">
        <f t="shared" si="1"/>
        <v>17264</v>
      </c>
      <c r="AX34" s="2">
        <f t="shared" si="1"/>
        <v>17264</v>
      </c>
    </row>
    <row r="35" spans="2:50" x14ac:dyDescent="0.25">
      <c r="B35" s="1" t="s">
        <v>31</v>
      </c>
      <c r="C35" s="2">
        <v>27000</v>
      </c>
      <c r="D35" s="2">
        <v>27000</v>
      </c>
      <c r="E35" s="2">
        <v>27000</v>
      </c>
      <c r="F35" s="2">
        <v>27000</v>
      </c>
      <c r="G35" s="2">
        <v>25000</v>
      </c>
      <c r="H35" s="2">
        <v>25000</v>
      </c>
      <c r="I35" s="2">
        <v>25000</v>
      </c>
      <c r="J35" s="2">
        <v>25000</v>
      </c>
      <c r="K35" s="2"/>
      <c r="L35" s="10">
        <f>J35</f>
        <v>25000</v>
      </c>
      <c r="M35" s="10">
        <f>L35</f>
        <v>25000</v>
      </c>
      <c r="N35" s="10">
        <f t="shared" ref="N35:AX35" si="2">M35</f>
        <v>25000</v>
      </c>
      <c r="O35" s="10">
        <f t="shared" si="2"/>
        <v>25000</v>
      </c>
      <c r="P35" s="10">
        <f t="shared" si="2"/>
        <v>25000</v>
      </c>
      <c r="Q35" s="10">
        <f t="shared" si="2"/>
        <v>25000</v>
      </c>
      <c r="R35" s="10">
        <f t="shared" si="2"/>
        <v>25000</v>
      </c>
      <c r="S35" s="10">
        <f t="shared" si="2"/>
        <v>25000</v>
      </c>
      <c r="T35" s="10">
        <f t="shared" si="2"/>
        <v>25000</v>
      </c>
      <c r="U35" s="10">
        <f t="shared" si="2"/>
        <v>25000</v>
      </c>
      <c r="V35" s="10">
        <f t="shared" si="2"/>
        <v>25000</v>
      </c>
      <c r="W35" s="10">
        <f t="shared" si="2"/>
        <v>25000</v>
      </c>
      <c r="X35" s="10">
        <f t="shared" si="2"/>
        <v>25000</v>
      </c>
      <c r="Y35" s="10">
        <f t="shared" si="2"/>
        <v>25000</v>
      </c>
      <c r="Z35" s="10">
        <f t="shared" si="2"/>
        <v>25000</v>
      </c>
      <c r="AA35" s="10">
        <f t="shared" si="2"/>
        <v>25000</v>
      </c>
      <c r="AB35" s="10">
        <f t="shared" si="2"/>
        <v>25000</v>
      </c>
      <c r="AC35" s="10">
        <f t="shared" si="2"/>
        <v>25000</v>
      </c>
      <c r="AD35" s="10">
        <f t="shared" si="2"/>
        <v>25000</v>
      </c>
      <c r="AE35" s="10">
        <f t="shared" si="2"/>
        <v>25000</v>
      </c>
      <c r="AF35" s="10">
        <f t="shared" si="2"/>
        <v>25000</v>
      </c>
      <c r="AG35" s="10">
        <f t="shared" si="2"/>
        <v>25000</v>
      </c>
      <c r="AH35" s="10">
        <f t="shared" si="2"/>
        <v>25000</v>
      </c>
      <c r="AI35" s="10">
        <f t="shared" si="2"/>
        <v>25000</v>
      </c>
      <c r="AJ35" s="10">
        <f t="shared" si="2"/>
        <v>25000</v>
      </c>
      <c r="AK35" s="10">
        <f t="shared" si="2"/>
        <v>25000</v>
      </c>
      <c r="AL35" s="10">
        <f t="shared" si="2"/>
        <v>25000</v>
      </c>
      <c r="AM35" s="10">
        <f t="shared" si="2"/>
        <v>25000</v>
      </c>
      <c r="AN35" s="10">
        <f t="shared" si="2"/>
        <v>25000</v>
      </c>
      <c r="AO35" s="10">
        <f t="shared" si="2"/>
        <v>25000</v>
      </c>
      <c r="AP35" s="10">
        <f t="shared" si="2"/>
        <v>25000</v>
      </c>
      <c r="AQ35" s="10">
        <f t="shared" si="2"/>
        <v>25000</v>
      </c>
      <c r="AR35" s="10">
        <f t="shared" si="2"/>
        <v>25000</v>
      </c>
      <c r="AS35" s="10">
        <f t="shared" si="2"/>
        <v>25000</v>
      </c>
      <c r="AT35" s="10">
        <f t="shared" si="2"/>
        <v>25000</v>
      </c>
      <c r="AU35" s="10">
        <f t="shared" si="2"/>
        <v>25000</v>
      </c>
      <c r="AV35" s="10">
        <f t="shared" si="2"/>
        <v>25000</v>
      </c>
      <c r="AW35" s="10">
        <f t="shared" si="2"/>
        <v>25000</v>
      </c>
      <c r="AX35" s="10">
        <f t="shared" si="2"/>
        <v>25000</v>
      </c>
    </row>
    <row r="36" spans="2:50" x14ac:dyDescent="0.25">
      <c r="B36" s="1" t="s">
        <v>2</v>
      </c>
      <c r="C36" s="2">
        <f t="shared" ref="C36:J36" si="3">C34-C40+C39</f>
        <v>-747</v>
      </c>
      <c r="D36" s="2">
        <f t="shared" si="3"/>
        <v>-747</v>
      </c>
      <c r="E36" s="2">
        <f t="shared" si="3"/>
        <v>49253</v>
      </c>
      <c r="F36" s="2">
        <f t="shared" si="3"/>
        <v>-747</v>
      </c>
      <c r="G36" s="2">
        <f t="shared" si="3"/>
        <v>-9736</v>
      </c>
      <c r="H36" s="2">
        <f t="shared" si="3"/>
        <v>-9736</v>
      </c>
      <c r="I36" s="2">
        <f t="shared" si="3"/>
        <v>-9736</v>
      </c>
      <c r="J36" s="2">
        <f t="shared" si="3"/>
        <v>-9736</v>
      </c>
      <c r="K36" s="2"/>
      <c r="L36" s="2">
        <f t="shared" ref="L36:AX36" si="4">L34-L40+L39</f>
        <v>-9736</v>
      </c>
      <c r="M36" s="2">
        <f t="shared" si="4"/>
        <v>-9736</v>
      </c>
      <c r="N36" s="2">
        <f t="shared" si="4"/>
        <v>-9736</v>
      </c>
      <c r="O36" s="2">
        <f t="shared" si="4"/>
        <v>-9736</v>
      </c>
      <c r="P36" s="2">
        <f t="shared" si="4"/>
        <v>-9736</v>
      </c>
      <c r="Q36" s="2">
        <f t="shared" si="4"/>
        <v>-9736</v>
      </c>
      <c r="R36" s="2">
        <f t="shared" si="4"/>
        <v>-9736</v>
      </c>
      <c r="S36" s="2">
        <f t="shared" si="4"/>
        <v>-9736</v>
      </c>
      <c r="T36" s="2">
        <f t="shared" si="4"/>
        <v>-9736</v>
      </c>
      <c r="U36" s="2">
        <f t="shared" si="4"/>
        <v>-9736</v>
      </c>
      <c r="V36" s="2">
        <f t="shared" si="4"/>
        <v>-9736</v>
      </c>
      <c r="W36" s="2">
        <f t="shared" si="4"/>
        <v>-9736</v>
      </c>
      <c r="X36" s="2">
        <f t="shared" si="4"/>
        <v>-9736</v>
      </c>
      <c r="Y36" s="2">
        <f t="shared" si="4"/>
        <v>-9736</v>
      </c>
      <c r="Z36" s="2">
        <f t="shared" si="4"/>
        <v>-9736</v>
      </c>
      <c r="AA36" s="2">
        <f t="shared" si="4"/>
        <v>-9736</v>
      </c>
      <c r="AB36" s="2">
        <f t="shared" si="4"/>
        <v>-9736</v>
      </c>
      <c r="AC36" s="2">
        <f t="shared" si="4"/>
        <v>-9736</v>
      </c>
      <c r="AD36" s="2">
        <f t="shared" si="4"/>
        <v>-9736</v>
      </c>
      <c r="AE36" s="2">
        <f t="shared" si="4"/>
        <v>-9736</v>
      </c>
      <c r="AF36" s="2">
        <f t="shared" si="4"/>
        <v>-9736</v>
      </c>
      <c r="AG36" s="2">
        <f t="shared" si="4"/>
        <v>-9736</v>
      </c>
      <c r="AH36" s="2">
        <f t="shared" si="4"/>
        <v>-9736</v>
      </c>
      <c r="AI36" s="2">
        <f t="shared" si="4"/>
        <v>-9736</v>
      </c>
      <c r="AJ36" s="2">
        <f t="shared" si="4"/>
        <v>-9736</v>
      </c>
      <c r="AK36" s="2">
        <f t="shared" si="4"/>
        <v>-9736</v>
      </c>
      <c r="AL36" s="2">
        <f t="shared" si="4"/>
        <v>-9736</v>
      </c>
      <c r="AM36" s="2">
        <f t="shared" si="4"/>
        <v>-9736</v>
      </c>
      <c r="AN36" s="2">
        <f t="shared" si="4"/>
        <v>-9736</v>
      </c>
      <c r="AO36" s="2">
        <f t="shared" si="4"/>
        <v>-9736</v>
      </c>
      <c r="AP36" s="2">
        <f t="shared" si="4"/>
        <v>-9736</v>
      </c>
      <c r="AQ36" s="2">
        <f t="shared" si="4"/>
        <v>-9736</v>
      </c>
      <c r="AR36" s="2">
        <f t="shared" si="4"/>
        <v>-9736</v>
      </c>
      <c r="AS36" s="2">
        <f t="shared" si="4"/>
        <v>-9736</v>
      </c>
      <c r="AT36" s="2">
        <f t="shared" si="4"/>
        <v>-9736</v>
      </c>
      <c r="AU36" s="2">
        <f t="shared" si="4"/>
        <v>-9736</v>
      </c>
      <c r="AV36" s="2">
        <f t="shared" si="4"/>
        <v>-9736</v>
      </c>
      <c r="AW36" s="2">
        <f t="shared" si="4"/>
        <v>-9736</v>
      </c>
      <c r="AX36" s="2">
        <f t="shared" si="4"/>
        <v>-9736</v>
      </c>
    </row>
    <row r="37" spans="2:50" x14ac:dyDescent="0.25">
      <c r="B37" s="1" t="s">
        <v>14</v>
      </c>
      <c r="C37" s="6">
        <f>$C$3+C36</f>
        <v>119253</v>
      </c>
      <c r="D37" s="2">
        <f t="shared" ref="D37:J37" si="5">C37*(1+$C$6)+D36</f>
        <v>122083.59</v>
      </c>
      <c r="E37" s="2">
        <f t="shared" si="5"/>
        <v>174999.09769999998</v>
      </c>
      <c r="F37" s="2">
        <f t="shared" si="5"/>
        <v>179502.07063099998</v>
      </c>
      <c r="G37" s="2">
        <f t="shared" si="5"/>
        <v>175151.13274993</v>
      </c>
      <c r="H37" s="2">
        <f t="shared" si="5"/>
        <v>170669.6667324279</v>
      </c>
      <c r="I37" s="2">
        <f t="shared" si="5"/>
        <v>166053.75673440073</v>
      </c>
      <c r="J37" s="11">
        <f t="shared" si="5"/>
        <v>161299.36943643275</v>
      </c>
      <c r="K37" s="2"/>
      <c r="L37" s="2">
        <f>J37*(1+$C$6)+L36</f>
        <v>156402.35051952573</v>
      </c>
      <c r="M37" s="2">
        <f t="shared" ref="M37:AX37" si="6">L37*(1+$C$6)+M36</f>
        <v>151358.4210351115</v>
      </c>
      <c r="N37" s="2">
        <f t="shared" si="6"/>
        <v>146163.17366616486</v>
      </c>
      <c r="O37" s="2">
        <f t="shared" si="6"/>
        <v>140812.0688761498</v>
      </c>
      <c r="P37" s="2">
        <f t="shared" si="6"/>
        <v>135300.43094243429</v>
      </c>
      <c r="Q37" s="2">
        <f t="shared" si="6"/>
        <v>129623.44387070733</v>
      </c>
      <c r="R37" s="2">
        <f t="shared" si="6"/>
        <v>123776.14718682854</v>
      </c>
      <c r="S37" s="2">
        <f t="shared" si="6"/>
        <v>117753.43160243341</v>
      </c>
      <c r="T37" s="2">
        <f t="shared" si="6"/>
        <v>111550.03455050642</v>
      </c>
      <c r="U37" s="2">
        <f t="shared" si="6"/>
        <v>105160.53558702162</v>
      </c>
      <c r="V37" s="2">
        <f t="shared" si="6"/>
        <v>98579.351654632264</v>
      </c>
      <c r="W37" s="2">
        <f t="shared" si="6"/>
        <v>91800.732204271233</v>
      </c>
      <c r="X37" s="2">
        <f t="shared" si="6"/>
        <v>84818.754170399377</v>
      </c>
      <c r="Y37" s="2">
        <f t="shared" si="6"/>
        <v>77627.31679551136</v>
      </c>
      <c r="Z37" s="2">
        <f t="shared" si="6"/>
        <v>70220.136299376696</v>
      </c>
      <c r="AA37" s="2">
        <f t="shared" si="6"/>
        <v>62590.740388357997</v>
      </c>
      <c r="AB37" s="2">
        <f t="shared" si="6"/>
        <v>54732.462600008737</v>
      </c>
      <c r="AC37" s="2">
        <f t="shared" si="6"/>
        <v>46638.436478009004</v>
      </c>
      <c r="AD37" s="2">
        <f t="shared" si="6"/>
        <v>38301.589572349272</v>
      </c>
      <c r="AE37" s="2">
        <f t="shared" si="6"/>
        <v>29714.637259519754</v>
      </c>
      <c r="AF37" s="2">
        <f t="shared" si="6"/>
        <v>20870.076377305348</v>
      </c>
      <c r="AG37" s="2">
        <f t="shared" si="6"/>
        <v>11760.17866862451</v>
      </c>
      <c r="AH37" s="2">
        <f t="shared" si="6"/>
        <v>2376.9840286832459</v>
      </c>
      <c r="AI37" s="2">
        <f t="shared" si="6"/>
        <v>-7287.7064504562568</v>
      </c>
      <c r="AJ37" s="2">
        <f t="shared" si="6"/>
        <v>-17242.337643969946</v>
      </c>
      <c r="AK37" s="2">
        <f t="shared" si="6"/>
        <v>-27495.607773289044</v>
      </c>
      <c r="AL37" s="2">
        <f t="shared" si="6"/>
        <v>-38056.476006487719</v>
      </c>
      <c r="AM37" s="2">
        <f t="shared" si="6"/>
        <v>-48934.170286682354</v>
      </c>
      <c r="AN37" s="2">
        <f t="shared" si="6"/>
        <v>-60138.195395282826</v>
      </c>
      <c r="AO37" s="2">
        <f t="shared" si="6"/>
        <v>-71678.341257141321</v>
      </c>
      <c r="AP37" s="2">
        <f t="shared" si="6"/>
        <v>-83564.691494855564</v>
      </c>
      <c r="AQ37" s="2">
        <f t="shared" si="6"/>
        <v>-95807.632239701226</v>
      </c>
      <c r="AR37" s="2">
        <f t="shared" si="6"/>
        <v>-108417.86120689227</v>
      </c>
      <c r="AS37" s="2">
        <f t="shared" si="6"/>
        <v>-121406.39704309903</v>
      </c>
      <c r="AT37" s="2">
        <f t="shared" si="6"/>
        <v>-134784.58895439201</v>
      </c>
      <c r="AU37" s="2">
        <f t="shared" si="6"/>
        <v>-148564.12662302377</v>
      </c>
      <c r="AV37" s="2">
        <f t="shared" si="6"/>
        <v>-162757.05042171449</v>
      </c>
      <c r="AW37" s="2">
        <f t="shared" si="6"/>
        <v>-177375.76193436593</v>
      </c>
      <c r="AX37" s="2">
        <f t="shared" si="6"/>
        <v>-192433.03479239691</v>
      </c>
    </row>
    <row r="39" spans="2:50" x14ac:dyDescent="0.25">
      <c r="B39" s="1" t="s">
        <v>12</v>
      </c>
      <c r="C39" s="2">
        <v>0</v>
      </c>
      <c r="D39" s="2">
        <v>0</v>
      </c>
      <c r="E39" s="11">
        <v>50000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/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</row>
    <row r="40" spans="2:50" x14ac:dyDescent="0.25">
      <c r="B40" s="1" t="s">
        <v>36</v>
      </c>
      <c r="C40" s="7">
        <v>31000</v>
      </c>
      <c r="D40" s="7">
        <v>31000</v>
      </c>
      <c r="E40" s="7">
        <v>31000</v>
      </c>
      <c r="F40" s="7">
        <v>31000</v>
      </c>
      <c r="G40" s="7">
        <v>27000</v>
      </c>
      <c r="H40" s="7">
        <v>27000</v>
      </c>
      <c r="I40" s="7">
        <v>27000</v>
      </c>
      <c r="J40" s="7">
        <v>27000</v>
      </c>
      <c r="K40" s="2"/>
      <c r="L40" s="10">
        <f>J40</f>
        <v>27000</v>
      </c>
      <c r="M40" s="10">
        <f>L40</f>
        <v>27000</v>
      </c>
      <c r="N40" s="10">
        <f t="shared" ref="N40:AX40" si="7">M40</f>
        <v>27000</v>
      </c>
      <c r="O40" s="10">
        <f t="shared" si="7"/>
        <v>27000</v>
      </c>
      <c r="P40" s="10">
        <f t="shared" si="7"/>
        <v>27000</v>
      </c>
      <c r="Q40" s="10">
        <f t="shared" si="7"/>
        <v>27000</v>
      </c>
      <c r="R40" s="10">
        <f t="shared" si="7"/>
        <v>27000</v>
      </c>
      <c r="S40" s="10">
        <f t="shared" si="7"/>
        <v>27000</v>
      </c>
      <c r="T40" s="10">
        <f t="shared" si="7"/>
        <v>27000</v>
      </c>
      <c r="U40" s="10">
        <f t="shared" si="7"/>
        <v>27000</v>
      </c>
      <c r="V40" s="10">
        <f t="shared" si="7"/>
        <v>27000</v>
      </c>
      <c r="W40" s="10">
        <f t="shared" si="7"/>
        <v>27000</v>
      </c>
      <c r="X40" s="10">
        <f t="shared" si="7"/>
        <v>27000</v>
      </c>
      <c r="Y40" s="10">
        <f t="shared" si="7"/>
        <v>27000</v>
      </c>
      <c r="Z40" s="10">
        <f t="shared" si="7"/>
        <v>27000</v>
      </c>
      <c r="AA40" s="10">
        <f t="shared" si="7"/>
        <v>27000</v>
      </c>
      <c r="AB40" s="10">
        <f t="shared" si="7"/>
        <v>27000</v>
      </c>
      <c r="AC40" s="10">
        <f t="shared" si="7"/>
        <v>27000</v>
      </c>
      <c r="AD40" s="10">
        <f t="shared" si="7"/>
        <v>27000</v>
      </c>
      <c r="AE40" s="10">
        <f t="shared" si="7"/>
        <v>27000</v>
      </c>
      <c r="AF40" s="10">
        <f t="shared" si="7"/>
        <v>27000</v>
      </c>
      <c r="AG40" s="10">
        <f t="shared" si="7"/>
        <v>27000</v>
      </c>
      <c r="AH40" s="10">
        <f t="shared" si="7"/>
        <v>27000</v>
      </c>
      <c r="AI40" s="10">
        <f t="shared" si="7"/>
        <v>27000</v>
      </c>
      <c r="AJ40" s="10">
        <f t="shared" si="7"/>
        <v>27000</v>
      </c>
      <c r="AK40" s="10">
        <f t="shared" si="7"/>
        <v>27000</v>
      </c>
      <c r="AL40" s="10">
        <f t="shared" si="7"/>
        <v>27000</v>
      </c>
      <c r="AM40" s="10">
        <f t="shared" si="7"/>
        <v>27000</v>
      </c>
      <c r="AN40" s="10">
        <f t="shared" si="7"/>
        <v>27000</v>
      </c>
      <c r="AO40" s="10">
        <f t="shared" si="7"/>
        <v>27000</v>
      </c>
      <c r="AP40" s="10">
        <f t="shared" si="7"/>
        <v>27000</v>
      </c>
      <c r="AQ40" s="10">
        <f t="shared" si="7"/>
        <v>27000</v>
      </c>
      <c r="AR40" s="10">
        <f t="shared" si="7"/>
        <v>27000</v>
      </c>
      <c r="AS40" s="10">
        <f t="shared" si="7"/>
        <v>27000</v>
      </c>
      <c r="AT40" s="10">
        <f t="shared" si="7"/>
        <v>27000</v>
      </c>
      <c r="AU40" s="10">
        <f t="shared" si="7"/>
        <v>27000</v>
      </c>
      <c r="AV40" s="10">
        <f t="shared" si="7"/>
        <v>27000</v>
      </c>
      <c r="AW40" s="10">
        <f t="shared" si="7"/>
        <v>27000</v>
      </c>
      <c r="AX40" s="10">
        <f t="shared" si="7"/>
        <v>27000</v>
      </c>
    </row>
  </sheetData>
  <mergeCells count="3">
    <mergeCell ref="C32:F32"/>
    <mergeCell ref="G32:J32"/>
    <mergeCell ref="L14:N2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EDF48-8B7D-4F5F-9B53-20EAEEA2513C}">
  <dimension ref="B2:AX40"/>
  <sheetViews>
    <sheetView workbookViewId="0">
      <selection activeCell="C13" sqref="C13"/>
    </sheetView>
  </sheetViews>
  <sheetFormatPr defaultRowHeight="15" x14ac:dyDescent="0.25"/>
  <cols>
    <col min="2" max="2" width="46.7109375" style="1" customWidth="1"/>
    <col min="3" max="9" width="15.7109375" customWidth="1"/>
    <col min="10" max="10" width="12.7109375" customWidth="1"/>
    <col min="11" max="11" width="4.7109375" customWidth="1"/>
    <col min="12" max="50" width="12.7109375" customWidth="1"/>
  </cols>
  <sheetData>
    <row r="2" spans="2:14" x14ac:dyDescent="0.25">
      <c r="B2" s="3" t="s">
        <v>17</v>
      </c>
    </row>
    <row r="3" spans="2:14" x14ac:dyDescent="0.25">
      <c r="B3" s="1" t="s">
        <v>9</v>
      </c>
      <c r="C3" s="8">
        <v>120000</v>
      </c>
    </row>
    <row r="4" spans="2:14" x14ac:dyDescent="0.25">
      <c r="B4" s="1" t="s">
        <v>7</v>
      </c>
      <c r="C4" s="8">
        <v>30253</v>
      </c>
    </row>
    <row r="5" spans="2:14" x14ac:dyDescent="0.25">
      <c r="B5" s="1" t="s">
        <v>8</v>
      </c>
      <c r="C5" s="8">
        <v>17264</v>
      </c>
    </row>
    <row r="6" spans="2:14" x14ac:dyDescent="0.25">
      <c r="B6" s="1" t="s">
        <v>6</v>
      </c>
      <c r="C6" s="9">
        <v>0.03</v>
      </c>
    </row>
    <row r="7" spans="2:14" x14ac:dyDescent="0.25">
      <c r="B7" s="1" t="s">
        <v>13</v>
      </c>
      <c r="C7" s="8">
        <v>50000</v>
      </c>
    </row>
    <row r="8" spans="2:14" x14ac:dyDescent="0.25">
      <c r="B8" s="1" t="s">
        <v>10</v>
      </c>
      <c r="C8" t="s">
        <v>11</v>
      </c>
    </row>
    <row r="9" spans="2:14" x14ac:dyDescent="0.25">
      <c r="C9" s="19" t="s">
        <v>23</v>
      </c>
    </row>
    <row r="10" spans="2:14" s="16" customFormat="1" ht="15.75" thickBot="1" x14ac:dyDescent="0.3"/>
    <row r="11" spans="2:14" ht="15.75" thickTop="1" x14ac:dyDescent="0.25"/>
    <row r="12" spans="2:14" x14ac:dyDescent="0.25">
      <c r="B12" s="3" t="s">
        <v>19</v>
      </c>
      <c r="C12" s="18" t="s">
        <v>35</v>
      </c>
    </row>
    <row r="13" spans="2:14" ht="15.75" thickBot="1" x14ac:dyDescent="0.3"/>
    <row r="14" spans="2:14" x14ac:dyDescent="0.25">
      <c r="L14" s="21" t="s">
        <v>28</v>
      </c>
      <c r="M14" s="22"/>
      <c r="N14" s="23"/>
    </row>
    <row r="15" spans="2:14" x14ac:dyDescent="0.25">
      <c r="L15" s="24"/>
      <c r="M15" s="25"/>
      <c r="N15" s="26"/>
    </row>
    <row r="16" spans="2:14" x14ac:dyDescent="0.25">
      <c r="L16" s="24"/>
      <c r="M16" s="25"/>
      <c r="N16" s="26"/>
    </row>
    <row r="17" spans="2:14" x14ac:dyDescent="0.25">
      <c r="L17" s="24"/>
      <c r="M17" s="25"/>
      <c r="N17" s="26"/>
    </row>
    <row r="18" spans="2:14" x14ac:dyDescent="0.25">
      <c r="L18" s="24"/>
      <c r="M18" s="25"/>
      <c r="N18" s="26"/>
    </row>
    <row r="19" spans="2:14" x14ac:dyDescent="0.25">
      <c r="L19" s="24"/>
      <c r="M19" s="25"/>
      <c r="N19" s="26"/>
    </row>
    <row r="20" spans="2:14" x14ac:dyDescent="0.25">
      <c r="L20" s="24"/>
      <c r="M20" s="25"/>
      <c r="N20" s="26"/>
    </row>
    <row r="21" spans="2:14" x14ac:dyDescent="0.25">
      <c r="L21" s="24"/>
      <c r="M21" s="25"/>
      <c r="N21" s="26"/>
    </row>
    <row r="22" spans="2:14" x14ac:dyDescent="0.25">
      <c r="L22" s="24"/>
      <c r="M22" s="25"/>
      <c r="N22" s="26"/>
    </row>
    <row r="23" spans="2:14" x14ac:dyDescent="0.25">
      <c r="L23" s="24"/>
      <c r="M23" s="25"/>
      <c r="N23" s="26"/>
    </row>
    <row r="24" spans="2:14" x14ac:dyDescent="0.25">
      <c r="L24" s="24"/>
      <c r="M24" s="25"/>
      <c r="N24" s="26"/>
    </row>
    <row r="25" spans="2:14" x14ac:dyDescent="0.25">
      <c r="L25" s="24"/>
      <c r="M25" s="25"/>
      <c r="N25" s="26"/>
    </row>
    <row r="26" spans="2:14" x14ac:dyDescent="0.25">
      <c r="L26" s="24"/>
      <c r="M26" s="25"/>
      <c r="N26" s="26"/>
    </row>
    <row r="27" spans="2:14" x14ac:dyDescent="0.25">
      <c r="L27" s="24"/>
      <c r="M27" s="25"/>
      <c r="N27" s="26"/>
    </row>
    <row r="28" spans="2:14" x14ac:dyDescent="0.25">
      <c r="L28" s="24"/>
      <c r="M28" s="25"/>
      <c r="N28" s="26"/>
    </row>
    <row r="29" spans="2:14" ht="15.75" thickBot="1" x14ac:dyDescent="0.3">
      <c r="L29" s="27"/>
      <c r="M29" s="28"/>
      <c r="N29" s="29"/>
    </row>
    <row r="31" spans="2:14" x14ac:dyDescent="0.25">
      <c r="B31" s="13"/>
      <c r="C31" s="12"/>
    </row>
    <row r="32" spans="2:14" ht="15" customHeight="1" x14ac:dyDescent="0.25">
      <c r="B32" s="3"/>
      <c r="C32" s="20" t="s">
        <v>3</v>
      </c>
      <c r="D32" s="20"/>
      <c r="E32" s="20"/>
      <c r="F32" s="20"/>
      <c r="G32" s="20" t="s">
        <v>4</v>
      </c>
      <c r="H32" s="20"/>
      <c r="I32" s="20"/>
      <c r="J32" s="20"/>
      <c r="K32" s="5"/>
    </row>
    <row r="33" spans="2:50" s="4" customFormat="1" x14ac:dyDescent="0.25">
      <c r="B33" s="4" t="s">
        <v>5</v>
      </c>
      <c r="C33" s="4">
        <v>63</v>
      </c>
      <c r="D33" s="4">
        <f>C33+1</f>
        <v>64</v>
      </c>
      <c r="E33" s="4">
        <f t="shared" ref="E33:AX33" si="0">D33+1</f>
        <v>65</v>
      </c>
      <c r="F33" s="4">
        <f t="shared" si="0"/>
        <v>66</v>
      </c>
      <c r="G33" s="4">
        <f t="shared" si="0"/>
        <v>67</v>
      </c>
      <c r="H33" s="4">
        <f t="shared" si="0"/>
        <v>68</v>
      </c>
      <c r="I33" s="4">
        <f t="shared" si="0"/>
        <v>69</v>
      </c>
      <c r="J33" s="4">
        <f t="shared" si="0"/>
        <v>70</v>
      </c>
      <c r="K33" s="3"/>
      <c r="L33" s="4">
        <f>J33+1</f>
        <v>71</v>
      </c>
      <c r="M33" s="4">
        <f t="shared" si="0"/>
        <v>72</v>
      </c>
      <c r="N33" s="4">
        <f t="shared" si="0"/>
        <v>73</v>
      </c>
      <c r="O33" s="4">
        <f t="shared" si="0"/>
        <v>74</v>
      </c>
      <c r="P33" s="4">
        <f t="shared" si="0"/>
        <v>75</v>
      </c>
      <c r="Q33" s="4">
        <f t="shared" si="0"/>
        <v>76</v>
      </c>
      <c r="R33" s="4">
        <f t="shared" si="0"/>
        <v>77</v>
      </c>
      <c r="S33" s="4">
        <f t="shared" si="0"/>
        <v>78</v>
      </c>
      <c r="T33" s="4">
        <f t="shared" si="0"/>
        <v>79</v>
      </c>
      <c r="U33" s="4">
        <f t="shared" si="0"/>
        <v>80</v>
      </c>
      <c r="V33" s="4">
        <f t="shared" si="0"/>
        <v>81</v>
      </c>
      <c r="W33" s="4">
        <f t="shared" si="0"/>
        <v>82</v>
      </c>
      <c r="X33" s="4">
        <f t="shared" si="0"/>
        <v>83</v>
      </c>
      <c r="Y33" s="4">
        <f t="shared" si="0"/>
        <v>84</v>
      </c>
      <c r="Z33" s="4">
        <f t="shared" si="0"/>
        <v>85</v>
      </c>
      <c r="AA33" s="4">
        <f t="shared" si="0"/>
        <v>86</v>
      </c>
      <c r="AB33" s="4">
        <f t="shared" si="0"/>
        <v>87</v>
      </c>
      <c r="AC33" s="4">
        <f t="shared" si="0"/>
        <v>88</v>
      </c>
      <c r="AD33" s="4">
        <f t="shared" si="0"/>
        <v>89</v>
      </c>
      <c r="AE33" s="4">
        <f t="shared" si="0"/>
        <v>90</v>
      </c>
      <c r="AF33" s="4">
        <f t="shared" si="0"/>
        <v>91</v>
      </c>
      <c r="AG33" s="4">
        <f t="shared" si="0"/>
        <v>92</v>
      </c>
      <c r="AH33" s="4">
        <f t="shared" si="0"/>
        <v>93</v>
      </c>
      <c r="AI33" s="4">
        <f t="shared" si="0"/>
        <v>94</v>
      </c>
      <c r="AJ33" s="4">
        <f t="shared" si="0"/>
        <v>95</v>
      </c>
      <c r="AK33" s="4">
        <f t="shared" si="0"/>
        <v>96</v>
      </c>
      <c r="AL33" s="4">
        <f t="shared" si="0"/>
        <v>97</v>
      </c>
      <c r="AM33" s="4">
        <f t="shared" si="0"/>
        <v>98</v>
      </c>
      <c r="AN33" s="4">
        <f t="shared" si="0"/>
        <v>99</v>
      </c>
      <c r="AO33" s="4">
        <f t="shared" si="0"/>
        <v>100</v>
      </c>
      <c r="AP33" s="4">
        <f t="shared" si="0"/>
        <v>101</v>
      </c>
      <c r="AQ33" s="4">
        <f t="shared" si="0"/>
        <v>102</v>
      </c>
      <c r="AR33" s="4">
        <f t="shared" si="0"/>
        <v>103</v>
      </c>
      <c r="AS33" s="4">
        <f t="shared" si="0"/>
        <v>104</v>
      </c>
      <c r="AT33" s="4">
        <f t="shared" si="0"/>
        <v>105</v>
      </c>
      <c r="AU33" s="4">
        <f t="shared" si="0"/>
        <v>106</v>
      </c>
      <c r="AV33" s="4">
        <f t="shared" si="0"/>
        <v>107</v>
      </c>
      <c r="AW33" s="4">
        <f t="shared" si="0"/>
        <v>108</v>
      </c>
      <c r="AX33" s="4">
        <f t="shared" si="0"/>
        <v>109</v>
      </c>
    </row>
    <row r="34" spans="2:50" x14ac:dyDescent="0.25">
      <c r="B34" s="1" t="s">
        <v>0</v>
      </c>
      <c r="C34" s="2">
        <f>$C$4</f>
        <v>30253</v>
      </c>
      <c r="D34" s="2">
        <f>$C$4</f>
        <v>30253</v>
      </c>
      <c r="E34" s="2">
        <f>$C$4</f>
        <v>30253</v>
      </c>
      <c r="F34" s="2">
        <f>$C$4</f>
        <v>30253</v>
      </c>
      <c r="G34" s="2">
        <f>$C$5</f>
        <v>17264</v>
      </c>
      <c r="H34" s="2">
        <f>$C$5</f>
        <v>17264</v>
      </c>
      <c r="I34" s="2">
        <f>$C$5</f>
        <v>17264</v>
      </c>
      <c r="J34" s="2">
        <f>$C$5</f>
        <v>17264</v>
      </c>
      <c r="K34" s="2"/>
      <c r="L34" s="2">
        <f t="shared" ref="L34:AX34" si="1">$C$5</f>
        <v>17264</v>
      </c>
      <c r="M34" s="2">
        <f t="shared" si="1"/>
        <v>17264</v>
      </c>
      <c r="N34" s="2">
        <f t="shared" si="1"/>
        <v>17264</v>
      </c>
      <c r="O34" s="2">
        <f t="shared" si="1"/>
        <v>17264</v>
      </c>
      <c r="P34" s="2">
        <f t="shared" si="1"/>
        <v>17264</v>
      </c>
      <c r="Q34" s="2">
        <f t="shared" si="1"/>
        <v>17264</v>
      </c>
      <c r="R34" s="2">
        <f t="shared" si="1"/>
        <v>17264</v>
      </c>
      <c r="S34" s="2">
        <f t="shared" si="1"/>
        <v>17264</v>
      </c>
      <c r="T34" s="2">
        <f t="shared" si="1"/>
        <v>17264</v>
      </c>
      <c r="U34" s="2">
        <f t="shared" si="1"/>
        <v>17264</v>
      </c>
      <c r="V34" s="2">
        <f t="shared" si="1"/>
        <v>17264</v>
      </c>
      <c r="W34" s="2">
        <f t="shared" si="1"/>
        <v>17264</v>
      </c>
      <c r="X34" s="2">
        <f t="shared" si="1"/>
        <v>17264</v>
      </c>
      <c r="Y34" s="2">
        <f t="shared" si="1"/>
        <v>17264</v>
      </c>
      <c r="Z34" s="2">
        <f t="shared" si="1"/>
        <v>17264</v>
      </c>
      <c r="AA34" s="2">
        <f t="shared" si="1"/>
        <v>17264</v>
      </c>
      <c r="AB34" s="2">
        <f t="shared" si="1"/>
        <v>17264</v>
      </c>
      <c r="AC34" s="2">
        <f t="shared" si="1"/>
        <v>17264</v>
      </c>
      <c r="AD34" s="2">
        <f t="shared" si="1"/>
        <v>17264</v>
      </c>
      <c r="AE34" s="2">
        <f t="shared" si="1"/>
        <v>17264</v>
      </c>
      <c r="AF34" s="2">
        <f t="shared" si="1"/>
        <v>17264</v>
      </c>
      <c r="AG34" s="2">
        <f t="shared" si="1"/>
        <v>17264</v>
      </c>
      <c r="AH34" s="2">
        <f t="shared" si="1"/>
        <v>17264</v>
      </c>
      <c r="AI34" s="2">
        <f t="shared" si="1"/>
        <v>17264</v>
      </c>
      <c r="AJ34" s="2">
        <f t="shared" si="1"/>
        <v>17264</v>
      </c>
      <c r="AK34" s="2">
        <f t="shared" si="1"/>
        <v>17264</v>
      </c>
      <c r="AL34" s="2">
        <f t="shared" si="1"/>
        <v>17264</v>
      </c>
      <c r="AM34" s="2">
        <f t="shared" si="1"/>
        <v>17264</v>
      </c>
      <c r="AN34" s="2">
        <f t="shared" si="1"/>
        <v>17264</v>
      </c>
      <c r="AO34" s="2">
        <f t="shared" si="1"/>
        <v>17264</v>
      </c>
      <c r="AP34" s="2">
        <f t="shared" si="1"/>
        <v>17264</v>
      </c>
      <c r="AQ34" s="2">
        <f t="shared" si="1"/>
        <v>17264</v>
      </c>
      <c r="AR34" s="2">
        <f t="shared" si="1"/>
        <v>17264</v>
      </c>
      <c r="AS34" s="2">
        <f t="shared" si="1"/>
        <v>17264</v>
      </c>
      <c r="AT34" s="2">
        <f t="shared" si="1"/>
        <v>17264</v>
      </c>
      <c r="AU34" s="2">
        <f t="shared" si="1"/>
        <v>17264</v>
      </c>
      <c r="AV34" s="2">
        <f t="shared" si="1"/>
        <v>17264</v>
      </c>
      <c r="AW34" s="2">
        <f t="shared" si="1"/>
        <v>17264</v>
      </c>
      <c r="AX34" s="2">
        <f t="shared" si="1"/>
        <v>17264</v>
      </c>
    </row>
    <row r="35" spans="2:50" x14ac:dyDescent="0.25">
      <c r="B35" s="1" t="s">
        <v>31</v>
      </c>
      <c r="C35" s="2">
        <v>27000</v>
      </c>
      <c r="D35" s="2">
        <v>27000</v>
      </c>
      <c r="E35" s="2">
        <v>27000</v>
      </c>
      <c r="F35" s="2">
        <v>27000</v>
      </c>
      <c r="G35" s="2">
        <v>25000</v>
      </c>
      <c r="H35" s="2">
        <v>25000</v>
      </c>
      <c r="I35" s="2">
        <v>25000</v>
      </c>
      <c r="J35" s="2">
        <v>25000</v>
      </c>
      <c r="K35" s="2"/>
      <c r="L35" s="10">
        <f>J35</f>
        <v>25000</v>
      </c>
      <c r="M35" s="10">
        <f>L35</f>
        <v>25000</v>
      </c>
      <c r="N35" s="10">
        <f t="shared" ref="N35:AX35" si="2">M35</f>
        <v>25000</v>
      </c>
      <c r="O35" s="10">
        <f t="shared" si="2"/>
        <v>25000</v>
      </c>
      <c r="P35" s="10">
        <f t="shared" si="2"/>
        <v>25000</v>
      </c>
      <c r="Q35" s="10">
        <f t="shared" si="2"/>
        <v>25000</v>
      </c>
      <c r="R35" s="10">
        <f t="shared" si="2"/>
        <v>25000</v>
      </c>
      <c r="S35" s="10">
        <f t="shared" si="2"/>
        <v>25000</v>
      </c>
      <c r="T35" s="10">
        <f t="shared" si="2"/>
        <v>25000</v>
      </c>
      <c r="U35" s="10">
        <f t="shared" si="2"/>
        <v>25000</v>
      </c>
      <c r="V35" s="10">
        <f t="shared" si="2"/>
        <v>25000</v>
      </c>
      <c r="W35" s="10">
        <f t="shared" si="2"/>
        <v>25000</v>
      </c>
      <c r="X35" s="10">
        <f t="shared" si="2"/>
        <v>25000</v>
      </c>
      <c r="Y35" s="10">
        <f t="shared" si="2"/>
        <v>25000</v>
      </c>
      <c r="Z35" s="10">
        <f t="shared" si="2"/>
        <v>25000</v>
      </c>
      <c r="AA35" s="10">
        <f t="shared" si="2"/>
        <v>25000</v>
      </c>
      <c r="AB35" s="10">
        <f t="shared" si="2"/>
        <v>25000</v>
      </c>
      <c r="AC35" s="10">
        <f t="shared" si="2"/>
        <v>25000</v>
      </c>
      <c r="AD35" s="10">
        <f t="shared" si="2"/>
        <v>25000</v>
      </c>
      <c r="AE35" s="10">
        <f t="shared" si="2"/>
        <v>25000</v>
      </c>
      <c r="AF35" s="10">
        <f t="shared" si="2"/>
        <v>25000</v>
      </c>
      <c r="AG35" s="10">
        <f t="shared" si="2"/>
        <v>25000</v>
      </c>
      <c r="AH35" s="10">
        <f t="shared" si="2"/>
        <v>25000</v>
      </c>
      <c r="AI35" s="10">
        <f t="shared" si="2"/>
        <v>25000</v>
      </c>
      <c r="AJ35" s="10">
        <f t="shared" si="2"/>
        <v>25000</v>
      </c>
      <c r="AK35" s="10">
        <f t="shared" si="2"/>
        <v>25000</v>
      </c>
      <c r="AL35" s="10">
        <f t="shared" si="2"/>
        <v>25000</v>
      </c>
      <c r="AM35" s="10">
        <f t="shared" si="2"/>
        <v>25000</v>
      </c>
      <c r="AN35" s="10">
        <f t="shared" si="2"/>
        <v>25000</v>
      </c>
      <c r="AO35" s="10">
        <f t="shared" si="2"/>
        <v>25000</v>
      </c>
      <c r="AP35" s="10">
        <f t="shared" si="2"/>
        <v>25000</v>
      </c>
      <c r="AQ35" s="10">
        <f t="shared" si="2"/>
        <v>25000</v>
      </c>
      <c r="AR35" s="10">
        <f t="shared" si="2"/>
        <v>25000</v>
      </c>
      <c r="AS35" s="10">
        <f t="shared" si="2"/>
        <v>25000</v>
      </c>
      <c r="AT35" s="10">
        <f t="shared" si="2"/>
        <v>25000</v>
      </c>
      <c r="AU35" s="10">
        <f t="shared" si="2"/>
        <v>25000</v>
      </c>
      <c r="AV35" s="10">
        <f t="shared" si="2"/>
        <v>25000</v>
      </c>
      <c r="AW35" s="10">
        <f t="shared" si="2"/>
        <v>25000</v>
      </c>
      <c r="AX35" s="10">
        <f t="shared" si="2"/>
        <v>25000</v>
      </c>
    </row>
    <row r="36" spans="2:50" x14ac:dyDescent="0.25">
      <c r="B36" s="1" t="s">
        <v>2</v>
      </c>
      <c r="C36" s="2">
        <f>C34-C35+C39-C40</f>
        <v>23253</v>
      </c>
      <c r="D36" s="2">
        <f t="shared" ref="D36:L36" si="3">D34-D35+D39-D40</f>
        <v>-6747</v>
      </c>
      <c r="E36" s="2">
        <f t="shared" si="3"/>
        <v>-1747</v>
      </c>
      <c r="F36" s="2">
        <f t="shared" si="3"/>
        <v>-1747</v>
      </c>
      <c r="G36" s="2">
        <f t="shared" si="3"/>
        <v>-7736</v>
      </c>
      <c r="H36" s="2">
        <f t="shared" si="3"/>
        <v>-7736</v>
      </c>
      <c r="I36" s="2">
        <f t="shared" si="3"/>
        <v>-7736</v>
      </c>
      <c r="J36" s="2">
        <f t="shared" si="3"/>
        <v>-7736</v>
      </c>
      <c r="K36" s="2"/>
      <c r="L36" s="2">
        <f t="shared" si="3"/>
        <v>-7736</v>
      </c>
      <c r="M36" s="2">
        <f t="shared" ref="M36" si="4">M34-M35+M39-M40</f>
        <v>-7736</v>
      </c>
      <c r="N36" s="2">
        <f t="shared" ref="N36" si="5">N34-N35+N39-N40</f>
        <v>-7736</v>
      </c>
      <c r="O36" s="2">
        <f t="shared" ref="O36" si="6">O34-O35+O39-O40</f>
        <v>-7736</v>
      </c>
      <c r="P36" s="2">
        <f t="shared" ref="P36" si="7">P34-P35+P39-P40</f>
        <v>-7736</v>
      </c>
      <c r="Q36" s="2">
        <f t="shared" ref="Q36" si="8">Q34-Q35+Q39-Q40</f>
        <v>-7736</v>
      </c>
      <c r="R36" s="2">
        <f t="shared" ref="R36" si="9">R34-R35+R39-R40</f>
        <v>-7736</v>
      </c>
      <c r="S36" s="2">
        <f t="shared" ref="S36" si="10">S34-S35+S39-S40</f>
        <v>-7736</v>
      </c>
      <c r="T36" s="2">
        <f t="shared" ref="T36" si="11">T34-T35+T39-T40</f>
        <v>-7736</v>
      </c>
      <c r="U36" s="2">
        <f t="shared" ref="U36" si="12">U34-U35+U39-U40</f>
        <v>-7736</v>
      </c>
      <c r="V36" s="2">
        <f t="shared" ref="V36" si="13">V34-V35+V39-V40</f>
        <v>-7736</v>
      </c>
      <c r="W36" s="2">
        <f t="shared" ref="W36" si="14">W34-W35+W39-W40</f>
        <v>-7736</v>
      </c>
      <c r="X36" s="2">
        <f t="shared" ref="X36" si="15">X34-X35+X39-X40</f>
        <v>-7736</v>
      </c>
      <c r="Y36" s="2">
        <f t="shared" ref="Y36" si="16">Y34-Y35+Y39-Y40</f>
        <v>-7736</v>
      </c>
      <c r="Z36" s="2">
        <f t="shared" ref="Z36" si="17">Z34-Z35+Z39-Z40</f>
        <v>-7736</v>
      </c>
      <c r="AA36" s="2">
        <f t="shared" ref="AA36" si="18">AA34-AA35+AA39-AA40</f>
        <v>-7736</v>
      </c>
      <c r="AB36" s="2">
        <f t="shared" ref="AB36" si="19">AB34-AB35+AB39-AB40</f>
        <v>-7736</v>
      </c>
      <c r="AC36" s="2">
        <f t="shared" ref="AC36" si="20">AC34-AC35+AC39-AC40</f>
        <v>-7736</v>
      </c>
      <c r="AD36" s="2">
        <f t="shared" ref="AD36" si="21">AD34-AD35+AD39-AD40</f>
        <v>-7736</v>
      </c>
      <c r="AE36" s="2">
        <f t="shared" ref="AE36" si="22">AE34-AE35+AE39-AE40</f>
        <v>-7736</v>
      </c>
      <c r="AF36" s="2">
        <f t="shared" ref="AF36" si="23">AF34-AF35+AF39-AF40</f>
        <v>-7736</v>
      </c>
      <c r="AG36" s="2">
        <f t="shared" ref="AG36" si="24">AG34-AG35+AG39-AG40</f>
        <v>-7736</v>
      </c>
      <c r="AH36" s="2">
        <f t="shared" ref="AH36" si="25">AH34-AH35+AH39-AH40</f>
        <v>-7736</v>
      </c>
      <c r="AI36" s="2">
        <f t="shared" ref="AI36" si="26">AI34-AI35+AI39-AI40</f>
        <v>-7736</v>
      </c>
      <c r="AJ36" s="2">
        <f t="shared" ref="AJ36" si="27">AJ34-AJ35+AJ39-AJ40</f>
        <v>-7736</v>
      </c>
      <c r="AK36" s="2">
        <f t="shared" ref="AK36" si="28">AK34-AK35+AK39-AK40</f>
        <v>-7736</v>
      </c>
      <c r="AL36" s="2">
        <f t="shared" ref="AL36" si="29">AL34-AL35+AL39-AL40</f>
        <v>-7736</v>
      </c>
      <c r="AM36" s="2">
        <f t="shared" ref="AM36" si="30">AM34-AM35+AM39-AM40</f>
        <v>-7736</v>
      </c>
      <c r="AN36" s="2">
        <f t="shared" ref="AN36" si="31">AN34-AN35+AN39-AN40</f>
        <v>-7736</v>
      </c>
      <c r="AO36" s="2">
        <f t="shared" ref="AO36" si="32">AO34-AO35+AO39-AO40</f>
        <v>-7736</v>
      </c>
      <c r="AP36" s="2">
        <f t="shared" ref="AP36" si="33">AP34-AP35+AP39-AP40</f>
        <v>-7736</v>
      </c>
      <c r="AQ36" s="2">
        <f t="shared" ref="AQ36" si="34">AQ34-AQ35+AQ39-AQ40</f>
        <v>-7736</v>
      </c>
      <c r="AR36" s="2">
        <f t="shared" ref="AR36" si="35">AR34-AR35+AR39-AR40</f>
        <v>-7736</v>
      </c>
      <c r="AS36" s="2">
        <f t="shared" ref="AS36" si="36">AS34-AS35+AS39-AS40</f>
        <v>-7736</v>
      </c>
      <c r="AT36" s="2">
        <f t="shared" ref="AT36" si="37">AT34-AT35+AT39-AT40</f>
        <v>-7736</v>
      </c>
      <c r="AU36" s="2">
        <f t="shared" ref="AU36" si="38">AU34-AU35+AU39-AU40</f>
        <v>-7736</v>
      </c>
      <c r="AV36" s="2">
        <f t="shared" ref="AV36" si="39">AV34-AV35+AV39-AV40</f>
        <v>-7736</v>
      </c>
      <c r="AW36" s="2">
        <f t="shared" ref="AW36" si="40">AW34-AW35+AW39-AW40</f>
        <v>-7736</v>
      </c>
      <c r="AX36" s="2">
        <f t="shared" ref="AX36" si="41">AX34-AX35+AX39-AX40</f>
        <v>-7736</v>
      </c>
    </row>
    <row r="37" spans="2:50" x14ac:dyDescent="0.25">
      <c r="B37" s="1" t="s">
        <v>14</v>
      </c>
      <c r="C37" s="6">
        <f>$C$3+C36</f>
        <v>143253</v>
      </c>
      <c r="D37" s="2">
        <f t="shared" ref="D37:J37" si="42">C37*(1+$C$6)+D36</f>
        <v>140803.59</v>
      </c>
      <c r="E37" s="2">
        <f t="shared" si="42"/>
        <v>143280.69769999999</v>
      </c>
      <c r="F37" s="2">
        <f t="shared" si="42"/>
        <v>145832.11863099999</v>
      </c>
      <c r="G37" s="2">
        <f t="shared" si="42"/>
        <v>142471.08218992999</v>
      </c>
      <c r="H37" s="2">
        <f t="shared" si="42"/>
        <v>139009.2146556279</v>
      </c>
      <c r="I37" s="2">
        <f t="shared" si="42"/>
        <v>135443.49109529675</v>
      </c>
      <c r="J37" s="11">
        <f t="shared" si="42"/>
        <v>131770.79582815565</v>
      </c>
      <c r="K37" s="2"/>
      <c r="L37" s="2">
        <f>J37*(1+$C$6)+L36</f>
        <v>127987.91970300031</v>
      </c>
      <c r="M37" s="2">
        <f t="shared" ref="M37:AX37" si="43">L37*(1+$C$6)+M36</f>
        <v>124091.55729409034</v>
      </c>
      <c r="N37" s="2">
        <f t="shared" si="43"/>
        <v>120078.30401291305</v>
      </c>
      <c r="O37" s="2">
        <f t="shared" si="43"/>
        <v>115944.65313330045</v>
      </c>
      <c r="P37" s="2">
        <f t="shared" si="43"/>
        <v>111686.99272729947</v>
      </c>
      <c r="Q37" s="2">
        <f t="shared" si="43"/>
        <v>107301.60250911846</v>
      </c>
      <c r="R37" s="2">
        <f t="shared" si="43"/>
        <v>102784.65058439202</v>
      </c>
      <c r="S37" s="2">
        <f t="shared" si="43"/>
        <v>98132.190101923785</v>
      </c>
      <c r="T37" s="2">
        <f t="shared" si="43"/>
        <v>93340.155804981507</v>
      </c>
      <c r="U37" s="2">
        <f t="shared" si="43"/>
        <v>88404.360479130948</v>
      </c>
      <c r="V37" s="2">
        <f t="shared" si="43"/>
        <v>83320.491293504878</v>
      </c>
      <c r="W37" s="2">
        <f t="shared" si="43"/>
        <v>78084.106032310025</v>
      </c>
      <c r="X37" s="2">
        <f t="shared" si="43"/>
        <v>72690.629213279331</v>
      </c>
      <c r="Y37" s="2">
        <f t="shared" si="43"/>
        <v>67135.348089677718</v>
      </c>
      <c r="Z37" s="2">
        <f t="shared" si="43"/>
        <v>61413.408532368048</v>
      </c>
      <c r="AA37" s="2">
        <f t="shared" si="43"/>
        <v>55519.810788339091</v>
      </c>
      <c r="AB37" s="2">
        <f t="shared" si="43"/>
        <v>49449.405111989268</v>
      </c>
      <c r="AC37" s="2">
        <f t="shared" si="43"/>
        <v>43196.887265348945</v>
      </c>
      <c r="AD37" s="2">
        <f t="shared" si="43"/>
        <v>36756.793883309416</v>
      </c>
      <c r="AE37" s="2">
        <f t="shared" si="43"/>
        <v>30123.4976998087</v>
      </c>
      <c r="AF37" s="2">
        <f t="shared" si="43"/>
        <v>23291.202630802964</v>
      </c>
      <c r="AG37" s="2">
        <f t="shared" si="43"/>
        <v>16253.938709727052</v>
      </c>
      <c r="AH37" s="2">
        <f t="shared" si="43"/>
        <v>9005.5568710188636</v>
      </c>
      <c r="AI37" s="2">
        <f t="shared" si="43"/>
        <v>1539.7235771494306</v>
      </c>
      <c r="AJ37" s="2">
        <f t="shared" si="43"/>
        <v>-6150.0847155360862</v>
      </c>
      <c r="AK37" s="2">
        <f t="shared" si="43"/>
        <v>-14070.587257002169</v>
      </c>
      <c r="AL37" s="2">
        <f t="shared" si="43"/>
        <v>-22228.704874712235</v>
      </c>
      <c r="AM37" s="2">
        <f t="shared" si="43"/>
        <v>-30631.566020953604</v>
      </c>
      <c r="AN37" s="2">
        <f t="shared" si="43"/>
        <v>-39286.513001582214</v>
      </c>
      <c r="AO37" s="2">
        <f t="shared" si="43"/>
        <v>-48201.108391629685</v>
      </c>
      <c r="AP37" s="2">
        <f t="shared" si="43"/>
        <v>-57383.141643378578</v>
      </c>
      <c r="AQ37" s="2">
        <f t="shared" si="43"/>
        <v>-66840.635892679944</v>
      </c>
      <c r="AR37" s="2">
        <f t="shared" si="43"/>
        <v>-76581.854969460343</v>
      </c>
      <c r="AS37" s="2">
        <f t="shared" si="43"/>
        <v>-86615.310618544157</v>
      </c>
      <c r="AT37" s="2">
        <f t="shared" si="43"/>
        <v>-96949.769937100486</v>
      </c>
      <c r="AU37" s="2">
        <f t="shared" si="43"/>
        <v>-107594.2630352135</v>
      </c>
      <c r="AV37" s="2">
        <f t="shared" si="43"/>
        <v>-118558.09092626991</v>
      </c>
      <c r="AW37" s="2">
        <f t="shared" si="43"/>
        <v>-129850.83365405802</v>
      </c>
      <c r="AX37" s="2">
        <f t="shared" si="43"/>
        <v>-141482.35866367977</v>
      </c>
    </row>
    <row r="39" spans="2:50" x14ac:dyDescent="0.25">
      <c r="B39" s="1" t="s">
        <v>12</v>
      </c>
      <c r="C39" s="11">
        <v>50000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/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</row>
    <row r="40" spans="2:50" x14ac:dyDescent="0.25">
      <c r="B40" s="1" t="s">
        <v>30</v>
      </c>
      <c r="C40" s="7">
        <v>30000</v>
      </c>
      <c r="D40" s="7">
        <v>10000</v>
      </c>
      <c r="E40" s="7">
        <v>5000</v>
      </c>
      <c r="F40" s="7">
        <v>5000</v>
      </c>
      <c r="G40" s="7">
        <v>0</v>
      </c>
      <c r="H40" s="7">
        <v>0</v>
      </c>
      <c r="I40" s="7">
        <v>0</v>
      </c>
      <c r="J40" s="7">
        <v>0</v>
      </c>
      <c r="L40" s="10">
        <f>J40</f>
        <v>0</v>
      </c>
      <c r="M40" s="10">
        <f>L40</f>
        <v>0</v>
      </c>
      <c r="N40" s="10">
        <f t="shared" ref="N40:AX40" si="44">M40</f>
        <v>0</v>
      </c>
      <c r="O40" s="10">
        <f t="shared" si="44"/>
        <v>0</v>
      </c>
      <c r="P40" s="10">
        <f t="shared" si="44"/>
        <v>0</v>
      </c>
      <c r="Q40" s="10">
        <f t="shared" si="44"/>
        <v>0</v>
      </c>
      <c r="R40" s="10">
        <f t="shared" si="44"/>
        <v>0</v>
      </c>
      <c r="S40" s="10">
        <f t="shared" si="44"/>
        <v>0</v>
      </c>
      <c r="T40" s="10">
        <f t="shared" si="44"/>
        <v>0</v>
      </c>
      <c r="U40" s="10">
        <f t="shared" si="44"/>
        <v>0</v>
      </c>
      <c r="V40" s="10">
        <f t="shared" si="44"/>
        <v>0</v>
      </c>
      <c r="W40" s="10">
        <f t="shared" si="44"/>
        <v>0</v>
      </c>
      <c r="X40" s="10">
        <f t="shared" si="44"/>
        <v>0</v>
      </c>
      <c r="Y40" s="10">
        <f t="shared" si="44"/>
        <v>0</v>
      </c>
      <c r="Z40" s="10">
        <f t="shared" si="44"/>
        <v>0</v>
      </c>
      <c r="AA40" s="10">
        <f t="shared" si="44"/>
        <v>0</v>
      </c>
      <c r="AB40" s="10">
        <f t="shared" si="44"/>
        <v>0</v>
      </c>
      <c r="AC40" s="10">
        <f t="shared" si="44"/>
        <v>0</v>
      </c>
      <c r="AD40" s="10">
        <f t="shared" si="44"/>
        <v>0</v>
      </c>
      <c r="AE40" s="10">
        <f t="shared" si="44"/>
        <v>0</v>
      </c>
      <c r="AF40" s="10">
        <f t="shared" si="44"/>
        <v>0</v>
      </c>
      <c r="AG40" s="10">
        <f t="shared" si="44"/>
        <v>0</v>
      </c>
      <c r="AH40" s="10">
        <f t="shared" si="44"/>
        <v>0</v>
      </c>
      <c r="AI40" s="10">
        <f t="shared" si="44"/>
        <v>0</v>
      </c>
      <c r="AJ40" s="10">
        <f t="shared" si="44"/>
        <v>0</v>
      </c>
      <c r="AK40" s="10">
        <f t="shared" si="44"/>
        <v>0</v>
      </c>
      <c r="AL40" s="10">
        <f t="shared" si="44"/>
        <v>0</v>
      </c>
      <c r="AM40" s="10">
        <f t="shared" si="44"/>
        <v>0</v>
      </c>
      <c r="AN40" s="10">
        <f t="shared" si="44"/>
        <v>0</v>
      </c>
      <c r="AO40" s="10">
        <f t="shared" si="44"/>
        <v>0</v>
      </c>
      <c r="AP40" s="10">
        <f t="shared" si="44"/>
        <v>0</v>
      </c>
      <c r="AQ40" s="10">
        <f t="shared" si="44"/>
        <v>0</v>
      </c>
      <c r="AR40" s="10">
        <f t="shared" si="44"/>
        <v>0</v>
      </c>
      <c r="AS40" s="10">
        <f t="shared" si="44"/>
        <v>0</v>
      </c>
      <c r="AT40" s="10">
        <f t="shared" si="44"/>
        <v>0</v>
      </c>
      <c r="AU40" s="10">
        <f t="shared" si="44"/>
        <v>0</v>
      </c>
      <c r="AV40" s="10">
        <f t="shared" si="44"/>
        <v>0</v>
      </c>
      <c r="AW40" s="10">
        <f t="shared" si="44"/>
        <v>0</v>
      </c>
      <c r="AX40" s="10">
        <f t="shared" si="44"/>
        <v>0</v>
      </c>
    </row>
  </sheetData>
  <mergeCells count="3">
    <mergeCell ref="L14:N29"/>
    <mergeCell ref="C32:F32"/>
    <mergeCell ref="G32:J3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CD9AD-3DC5-4B38-94FB-6397285B5E44}">
  <dimension ref="B2:AX40"/>
  <sheetViews>
    <sheetView workbookViewId="0">
      <selection activeCell="E40" sqref="E40"/>
    </sheetView>
  </sheetViews>
  <sheetFormatPr defaultRowHeight="15" x14ac:dyDescent="0.25"/>
  <cols>
    <col min="2" max="2" width="46.7109375" style="1" customWidth="1"/>
    <col min="3" max="9" width="15.7109375" customWidth="1"/>
    <col min="10" max="10" width="12.7109375" customWidth="1"/>
    <col min="11" max="11" width="4.7109375" customWidth="1"/>
    <col min="12" max="50" width="12.7109375" customWidth="1"/>
  </cols>
  <sheetData>
    <row r="2" spans="2:14" x14ac:dyDescent="0.25">
      <c r="B2" s="3" t="s">
        <v>17</v>
      </c>
    </row>
    <row r="3" spans="2:14" x14ac:dyDescent="0.25">
      <c r="B3" s="1" t="s">
        <v>9</v>
      </c>
      <c r="C3" s="8">
        <v>120000</v>
      </c>
    </row>
    <row r="4" spans="2:14" x14ac:dyDescent="0.25">
      <c r="B4" s="1" t="s">
        <v>7</v>
      </c>
      <c r="C4" s="8">
        <v>30253</v>
      </c>
    </row>
    <row r="5" spans="2:14" x14ac:dyDescent="0.25">
      <c r="B5" s="1" t="s">
        <v>8</v>
      </c>
      <c r="C5" s="8">
        <v>17264</v>
      </c>
    </row>
    <row r="6" spans="2:14" x14ac:dyDescent="0.25">
      <c r="B6" s="1" t="s">
        <v>6</v>
      </c>
      <c r="C6" s="9">
        <v>0.03</v>
      </c>
    </row>
    <row r="7" spans="2:14" x14ac:dyDescent="0.25">
      <c r="B7" s="1" t="s">
        <v>13</v>
      </c>
      <c r="C7" s="8">
        <v>50000</v>
      </c>
    </row>
    <row r="8" spans="2:14" x14ac:dyDescent="0.25">
      <c r="B8" s="1" t="s">
        <v>10</v>
      </c>
      <c r="C8" t="s">
        <v>11</v>
      </c>
    </row>
    <row r="9" spans="2:14" x14ac:dyDescent="0.25">
      <c r="C9" s="19" t="s">
        <v>23</v>
      </c>
    </row>
    <row r="10" spans="2:14" s="16" customFormat="1" ht="15.75" thickBot="1" x14ac:dyDescent="0.3"/>
    <row r="11" spans="2:14" ht="15.75" thickTop="1" x14ac:dyDescent="0.25"/>
    <row r="12" spans="2:14" x14ac:dyDescent="0.25">
      <c r="B12" s="3" t="s">
        <v>19</v>
      </c>
      <c r="C12" s="18" t="s">
        <v>35</v>
      </c>
    </row>
    <row r="13" spans="2:14" ht="15.75" thickBot="1" x14ac:dyDescent="0.3"/>
    <row r="14" spans="2:14" x14ac:dyDescent="0.25">
      <c r="L14" s="21" t="s">
        <v>29</v>
      </c>
      <c r="M14" s="22"/>
      <c r="N14" s="23"/>
    </row>
    <row r="15" spans="2:14" x14ac:dyDescent="0.25">
      <c r="L15" s="24"/>
      <c r="M15" s="25"/>
      <c r="N15" s="26"/>
    </row>
    <row r="16" spans="2:14" x14ac:dyDescent="0.25">
      <c r="L16" s="24"/>
      <c r="M16" s="25"/>
      <c r="N16" s="26"/>
    </row>
    <row r="17" spans="2:14" x14ac:dyDescent="0.25">
      <c r="L17" s="24"/>
      <c r="M17" s="25"/>
      <c r="N17" s="26"/>
    </row>
    <row r="18" spans="2:14" x14ac:dyDescent="0.25">
      <c r="L18" s="24"/>
      <c r="M18" s="25"/>
      <c r="N18" s="26"/>
    </row>
    <row r="19" spans="2:14" x14ac:dyDescent="0.25">
      <c r="L19" s="24"/>
      <c r="M19" s="25"/>
      <c r="N19" s="26"/>
    </row>
    <row r="20" spans="2:14" x14ac:dyDescent="0.25">
      <c r="L20" s="24"/>
      <c r="M20" s="25"/>
      <c r="N20" s="26"/>
    </row>
    <row r="21" spans="2:14" x14ac:dyDescent="0.25">
      <c r="L21" s="24"/>
      <c r="M21" s="25"/>
      <c r="N21" s="26"/>
    </row>
    <row r="22" spans="2:14" x14ac:dyDescent="0.25">
      <c r="L22" s="24"/>
      <c r="M22" s="25"/>
      <c r="N22" s="26"/>
    </row>
    <row r="23" spans="2:14" x14ac:dyDescent="0.25">
      <c r="L23" s="24"/>
      <c r="M23" s="25"/>
      <c r="N23" s="26"/>
    </row>
    <row r="24" spans="2:14" x14ac:dyDescent="0.25">
      <c r="L24" s="24"/>
      <c r="M24" s="25"/>
      <c r="N24" s="26"/>
    </row>
    <row r="25" spans="2:14" x14ac:dyDescent="0.25">
      <c r="L25" s="24"/>
      <c r="M25" s="25"/>
      <c r="N25" s="26"/>
    </row>
    <row r="26" spans="2:14" x14ac:dyDescent="0.25">
      <c r="L26" s="24"/>
      <c r="M26" s="25"/>
      <c r="N26" s="26"/>
    </row>
    <row r="27" spans="2:14" x14ac:dyDescent="0.25">
      <c r="L27" s="24"/>
      <c r="M27" s="25"/>
      <c r="N27" s="26"/>
    </row>
    <row r="28" spans="2:14" x14ac:dyDescent="0.25">
      <c r="L28" s="24"/>
      <c r="M28" s="25"/>
      <c r="N28" s="26"/>
    </row>
    <row r="29" spans="2:14" ht="15.75" thickBot="1" x14ac:dyDescent="0.3">
      <c r="L29" s="27"/>
      <c r="M29" s="28"/>
      <c r="N29" s="29"/>
    </row>
    <row r="31" spans="2:14" x14ac:dyDescent="0.25">
      <c r="B31" s="13"/>
      <c r="C31" s="12"/>
    </row>
    <row r="32" spans="2:14" ht="15" customHeight="1" x14ac:dyDescent="0.25">
      <c r="B32" s="3"/>
      <c r="C32" s="20" t="s">
        <v>3</v>
      </c>
      <c r="D32" s="20"/>
      <c r="E32" s="20"/>
      <c r="F32" s="20"/>
      <c r="G32" s="20" t="s">
        <v>4</v>
      </c>
      <c r="H32" s="20"/>
      <c r="I32" s="20"/>
      <c r="J32" s="20"/>
      <c r="K32" s="5"/>
    </row>
    <row r="33" spans="2:50" s="4" customFormat="1" x14ac:dyDescent="0.25">
      <c r="B33" s="4" t="s">
        <v>5</v>
      </c>
      <c r="C33" s="4">
        <v>63</v>
      </c>
      <c r="D33" s="4">
        <f>C33+1</f>
        <v>64</v>
      </c>
      <c r="E33" s="4">
        <f t="shared" ref="E33:AX33" si="0">D33+1</f>
        <v>65</v>
      </c>
      <c r="F33" s="4">
        <f t="shared" si="0"/>
        <v>66</v>
      </c>
      <c r="G33" s="4">
        <f t="shared" si="0"/>
        <v>67</v>
      </c>
      <c r="H33" s="4">
        <f t="shared" si="0"/>
        <v>68</v>
      </c>
      <c r="I33" s="4">
        <f t="shared" si="0"/>
        <v>69</v>
      </c>
      <c r="J33" s="4">
        <f t="shared" si="0"/>
        <v>70</v>
      </c>
      <c r="K33" s="3"/>
      <c r="L33" s="4">
        <f>J33+1</f>
        <v>71</v>
      </c>
      <c r="M33" s="4">
        <f t="shared" si="0"/>
        <v>72</v>
      </c>
      <c r="N33" s="4">
        <f t="shared" si="0"/>
        <v>73</v>
      </c>
      <c r="O33" s="4">
        <f t="shared" si="0"/>
        <v>74</v>
      </c>
      <c r="P33" s="4">
        <f t="shared" si="0"/>
        <v>75</v>
      </c>
      <c r="Q33" s="4">
        <f t="shared" si="0"/>
        <v>76</v>
      </c>
      <c r="R33" s="4">
        <f t="shared" si="0"/>
        <v>77</v>
      </c>
      <c r="S33" s="4">
        <f t="shared" si="0"/>
        <v>78</v>
      </c>
      <c r="T33" s="4">
        <f t="shared" si="0"/>
        <v>79</v>
      </c>
      <c r="U33" s="4">
        <f t="shared" si="0"/>
        <v>80</v>
      </c>
      <c r="V33" s="4">
        <f t="shared" si="0"/>
        <v>81</v>
      </c>
      <c r="W33" s="4">
        <f t="shared" si="0"/>
        <v>82</v>
      </c>
      <c r="X33" s="4">
        <f t="shared" si="0"/>
        <v>83</v>
      </c>
      <c r="Y33" s="4">
        <f t="shared" si="0"/>
        <v>84</v>
      </c>
      <c r="Z33" s="4">
        <f t="shared" si="0"/>
        <v>85</v>
      </c>
      <c r="AA33" s="4">
        <f t="shared" si="0"/>
        <v>86</v>
      </c>
      <c r="AB33" s="4">
        <f t="shared" si="0"/>
        <v>87</v>
      </c>
      <c r="AC33" s="4">
        <f t="shared" si="0"/>
        <v>88</v>
      </c>
      <c r="AD33" s="4">
        <f t="shared" si="0"/>
        <v>89</v>
      </c>
      <c r="AE33" s="4">
        <f t="shared" si="0"/>
        <v>90</v>
      </c>
      <c r="AF33" s="4">
        <f t="shared" si="0"/>
        <v>91</v>
      </c>
      <c r="AG33" s="4">
        <f t="shared" si="0"/>
        <v>92</v>
      </c>
      <c r="AH33" s="4">
        <f t="shared" si="0"/>
        <v>93</v>
      </c>
      <c r="AI33" s="4">
        <f t="shared" si="0"/>
        <v>94</v>
      </c>
      <c r="AJ33" s="4">
        <f t="shared" si="0"/>
        <v>95</v>
      </c>
      <c r="AK33" s="4">
        <f t="shared" si="0"/>
        <v>96</v>
      </c>
      <c r="AL33" s="4">
        <f t="shared" si="0"/>
        <v>97</v>
      </c>
      <c r="AM33" s="4">
        <f t="shared" si="0"/>
        <v>98</v>
      </c>
      <c r="AN33" s="4">
        <f t="shared" si="0"/>
        <v>99</v>
      </c>
      <c r="AO33" s="4">
        <f t="shared" si="0"/>
        <v>100</v>
      </c>
      <c r="AP33" s="4">
        <f t="shared" si="0"/>
        <v>101</v>
      </c>
      <c r="AQ33" s="4">
        <f t="shared" si="0"/>
        <v>102</v>
      </c>
      <c r="AR33" s="4">
        <f t="shared" si="0"/>
        <v>103</v>
      </c>
      <c r="AS33" s="4">
        <f t="shared" si="0"/>
        <v>104</v>
      </c>
      <c r="AT33" s="4">
        <f t="shared" si="0"/>
        <v>105</v>
      </c>
      <c r="AU33" s="4">
        <f t="shared" si="0"/>
        <v>106</v>
      </c>
      <c r="AV33" s="4">
        <f t="shared" si="0"/>
        <v>107</v>
      </c>
      <c r="AW33" s="4">
        <f t="shared" si="0"/>
        <v>108</v>
      </c>
      <c r="AX33" s="4">
        <f t="shared" si="0"/>
        <v>109</v>
      </c>
    </row>
    <row r="34" spans="2:50" x14ac:dyDescent="0.25">
      <c r="B34" s="1" t="s">
        <v>0</v>
      </c>
      <c r="C34" s="2">
        <f>$C$4</f>
        <v>30253</v>
      </c>
      <c r="D34" s="2">
        <f>$C$4</f>
        <v>30253</v>
      </c>
      <c r="E34" s="2">
        <f>$C$4</f>
        <v>30253</v>
      </c>
      <c r="F34" s="2">
        <f>$C$4</f>
        <v>30253</v>
      </c>
      <c r="G34" s="2">
        <f>$C$5</f>
        <v>17264</v>
      </c>
      <c r="H34" s="2">
        <f>$C$5</f>
        <v>17264</v>
      </c>
      <c r="I34" s="2">
        <f>$C$5</f>
        <v>17264</v>
      </c>
      <c r="J34" s="2">
        <f>$C$5</f>
        <v>17264</v>
      </c>
      <c r="K34" s="2"/>
      <c r="L34" s="2">
        <f t="shared" ref="L34:AX34" si="1">$C$5</f>
        <v>17264</v>
      </c>
      <c r="M34" s="2">
        <f t="shared" si="1"/>
        <v>17264</v>
      </c>
      <c r="N34" s="2">
        <f t="shared" si="1"/>
        <v>17264</v>
      </c>
      <c r="O34" s="2">
        <f t="shared" si="1"/>
        <v>17264</v>
      </c>
      <c r="P34" s="2">
        <f t="shared" si="1"/>
        <v>17264</v>
      </c>
      <c r="Q34" s="2">
        <f t="shared" si="1"/>
        <v>17264</v>
      </c>
      <c r="R34" s="2">
        <f t="shared" si="1"/>
        <v>17264</v>
      </c>
      <c r="S34" s="2">
        <f t="shared" si="1"/>
        <v>17264</v>
      </c>
      <c r="T34" s="2">
        <f t="shared" si="1"/>
        <v>17264</v>
      </c>
      <c r="U34" s="2">
        <f t="shared" si="1"/>
        <v>17264</v>
      </c>
      <c r="V34" s="2">
        <f t="shared" si="1"/>
        <v>17264</v>
      </c>
      <c r="W34" s="2">
        <f t="shared" si="1"/>
        <v>17264</v>
      </c>
      <c r="X34" s="2">
        <f t="shared" si="1"/>
        <v>17264</v>
      </c>
      <c r="Y34" s="2">
        <f t="shared" si="1"/>
        <v>17264</v>
      </c>
      <c r="Z34" s="2">
        <f t="shared" si="1"/>
        <v>17264</v>
      </c>
      <c r="AA34" s="2">
        <f t="shared" si="1"/>
        <v>17264</v>
      </c>
      <c r="AB34" s="2">
        <f t="shared" si="1"/>
        <v>17264</v>
      </c>
      <c r="AC34" s="2">
        <f t="shared" si="1"/>
        <v>17264</v>
      </c>
      <c r="AD34" s="2">
        <f t="shared" si="1"/>
        <v>17264</v>
      </c>
      <c r="AE34" s="2">
        <f t="shared" si="1"/>
        <v>17264</v>
      </c>
      <c r="AF34" s="2">
        <f t="shared" si="1"/>
        <v>17264</v>
      </c>
      <c r="AG34" s="2">
        <f t="shared" si="1"/>
        <v>17264</v>
      </c>
      <c r="AH34" s="2">
        <f t="shared" si="1"/>
        <v>17264</v>
      </c>
      <c r="AI34" s="2">
        <f t="shared" si="1"/>
        <v>17264</v>
      </c>
      <c r="AJ34" s="2">
        <f t="shared" si="1"/>
        <v>17264</v>
      </c>
      <c r="AK34" s="2">
        <f t="shared" si="1"/>
        <v>17264</v>
      </c>
      <c r="AL34" s="2">
        <f t="shared" si="1"/>
        <v>17264</v>
      </c>
      <c r="AM34" s="2">
        <f t="shared" si="1"/>
        <v>17264</v>
      </c>
      <c r="AN34" s="2">
        <f t="shared" si="1"/>
        <v>17264</v>
      </c>
      <c r="AO34" s="2">
        <f t="shared" si="1"/>
        <v>17264</v>
      </c>
      <c r="AP34" s="2">
        <f t="shared" si="1"/>
        <v>17264</v>
      </c>
      <c r="AQ34" s="2">
        <f t="shared" si="1"/>
        <v>17264</v>
      </c>
      <c r="AR34" s="2">
        <f t="shared" si="1"/>
        <v>17264</v>
      </c>
      <c r="AS34" s="2">
        <f t="shared" si="1"/>
        <v>17264</v>
      </c>
      <c r="AT34" s="2">
        <f t="shared" si="1"/>
        <v>17264</v>
      </c>
      <c r="AU34" s="2">
        <f t="shared" si="1"/>
        <v>17264</v>
      </c>
      <c r="AV34" s="2">
        <f t="shared" si="1"/>
        <v>17264</v>
      </c>
      <c r="AW34" s="2">
        <f t="shared" si="1"/>
        <v>17264</v>
      </c>
      <c r="AX34" s="2">
        <f t="shared" si="1"/>
        <v>17264</v>
      </c>
    </row>
    <row r="35" spans="2:50" x14ac:dyDescent="0.25">
      <c r="B35" s="1" t="s">
        <v>31</v>
      </c>
      <c r="C35" s="2">
        <v>27000</v>
      </c>
      <c r="D35" s="2">
        <v>27000</v>
      </c>
      <c r="E35" s="2">
        <v>27000</v>
      </c>
      <c r="F35" s="2">
        <v>27000</v>
      </c>
      <c r="G35" s="2">
        <v>25000</v>
      </c>
      <c r="H35" s="2">
        <v>25000</v>
      </c>
      <c r="I35" s="2">
        <v>25000</v>
      </c>
      <c r="J35" s="2">
        <v>25000</v>
      </c>
      <c r="K35" s="2"/>
      <c r="L35" s="10">
        <f>J35</f>
        <v>25000</v>
      </c>
      <c r="M35" s="10">
        <f>L35</f>
        <v>25000</v>
      </c>
      <c r="N35" s="10">
        <f t="shared" ref="N35:AX35" si="2">M35</f>
        <v>25000</v>
      </c>
      <c r="O35" s="10">
        <f t="shared" si="2"/>
        <v>25000</v>
      </c>
      <c r="P35" s="10">
        <f t="shared" si="2"/>
        <v>25000</v>
      </c>
      <c r="Q35" s="10">
        <f t="shared" si="2"/>
        <v>25000</v>
      </c>
      <c r="R35" s="10">
        <f t="shared" si="2"/>
        <v>25000</v>
      </c>
      <c r="S35" s="10">
        <f t="shared" si="2"/>
        <v>25000</v>
      </c>
      <c r="T35" s="10">
        <f t="shared" si="2"/>
        <v>25000</v>
      </c>
      <c r="U35" s="10">
        <f t="shared" si="2"/>
        <v>25000</v>
      </c>
      <c r="V35" s="10">
        <f t="shared" si="2"/>
        <v>25000</v>
      </c>
      <c r="W35" s="10">
        <f t="shared" si="2"/>
        <v>25000</v>
      </c>
      <c r="X35" s="10">
        <f t="shared" si="2"/>
        <v>25000</v>
      </c>
      <c r="Y35" s="10">
        <f t="shared" si="2"/>
        <v>25000</v>
      </c>
      <c r="Z35" s="10">
        <f t="shared" si="2"/>
        <v>25000</v>
      </c>
      <c r="AA35" s="10">
        <f t="shared" si="2"/>
        <v>25000</v>
      </c>
      <c r="AB35" s="10">
        <f t="shared" si="2"/>
        <v>25000</v>
      </c>
      <c r="AC35" s="10">
        <f t="shared" si="2"/>
        <v>25000</v>
      </c>
      <c r="AD35" s="10">
        <f t="shared" si="2"/>
        <v>25000</v>
      </c>
      <c r="AE35" s="10">
        <f t="shared" si="2"/>
        <v>25000</v>
      </c>
      <c r="AF35" s="10">
        <f t="shared" si="2"/>
        <v>25000</v>
      </c>
      <c r="AG35" s="10">
        <f t="shared" si="2"/>
        <v>25000</v>
      </c>
      <c r="AH35" s="10">
        <f t="shared" si="2"/>
        <v>25000</v>
      </c>
      <c r="AI35" s="10">
        <f t="shared" si="2"/>
        <v>25000</v>
      </c>
      <c r="AJ35" s="10">
        <f t="shared" si="2"/>
        <v>25000</v>
      </c>
      <c r="AK35" s="10">
        <f t="shared" si="2"/>
        <v>25000</v>
      </c>
      <c r="AL35" s="10">
        <f t="shared" si="2"/>
        <v>25000</v>
      </c>
      <c r="AM35" s="10">
        <f t="shared" si="2"/>
        <v>25000</v>
      </c>
      <c r="AN35" s="10">
        <f t="shared" si="2"/>
        <v>25000</v>
      </c>
      <c r="AO35" s="10">
        <f t="shared" si="2"/>
        <v>25000</v>
      </c>
      <c r="AP35" s="10">
        <f t="shared" si="2"/>
        <v>25000</v>
      </c>
      <c r="AQ35" s="10">
        <f t="shared" si="2"/>
        <v>25000</v>
      </c>
      <c r="AR35" s="10">
        <f t="shared" si="2"/>
        <v>25000</v>
      </c>
      <c r="AS35" s="10">
        <f t="shared" si="2"/>
        <v>25000</v>
      </c>
      <c r="AT35" s="10">
        <f t="shared" si="2"/>
        <v>25000</v>
      </c>
      <c r="AU35" s="10">
        <f t="shared" si="2"/>
        <v>25000</v>
      </c>
      <c r="AV35" s="10">
        <f t="shared" si="2"/>
        <v>25000</v>
      </c>
      <c r="AW35" s="10">
        <f t="shared" si="2"/>
        <v>25000</v>
      </c>
      <c r="AX35" s="10">
        <f t="shared" si="2"/>
        <v>25000</v>
      </c>
    </row>
    <row r="36" spans="2:50" x14ac:dyDescent="0.25">
      <c r="B36" s="1" t="s">
        <v>2</v>
      </c>
      <c r="C36" s="2">
        <f>C34-C35+C39-C40</f>
        <v>753</v>
      </c>
      <c r="D36" s="2">
        <f t="shared" ref="D36:AX36" si="3">D34-D35+D39-D40</f>
        <v>753</v>
      </c>
      <c r="E36" s="2">
        <f t="shared" si="3"/>
        <v>28253</v>
      </c>
      <c r="F36" s="2">
        <f t="shared" si="3"/>
        <v>-6747</v>
      </c>
      <c r="G36" s="2">
        <f t="shared" si="3"/>
        <v>-12736</v>
      </c>
      <c r="H36" s="2">
        <f t="shared" si="3"/>
        <v>-12736</v>
      </c>
      <c r="I36" s="2">
        <f t="shared" si="3"/>
        <v>-7736</v>
      </c>
      <c r="J36" s="2">
        <f t="shared" si="3"/>
        <v>-7736</v>
      </c>
      <c r="K36" s="2"/>
      <c r="L36" s="2">
        <f t="shared" si="3"/>
        <v>-7736</v>
      </c>
      <c r="M36" s="2">
        <f t="shared" si="3"/>
        <v>-7736</v>
      </c>
      <c r="N36" s="2">
        <f t="shared" si="3"/>
        <v>-7736</v>
      </c>
      <c r="O36" s="2">
        <f t="shared" si="3"/>
        <v>-7736</v>
      </c>
      <c r="P36" s="2">
        <f t="shared" si="3"/>
        <v>-7736</v>
      </c>
      <c r="Q36" s="2">
        <f t="shared" si="3"/>
        <v>-7736</v>
      </c>
      <c r="R36" s="2">
        <f t="shared" si="3"/>
        <v>-7736</v>
      </c>
      <c r="S36" s="2">
        <f t="shared" si="3"/>
        <v>-7736</v>
      </c>
      <c r="T36" s="2">
        <f t="shared" si="3"/>
        <v>-7736</v>
      </c>
      <c r="U36" s="2">
        <f t="shared" si="3"/>
        <v>-7736</v>
      </c>
      <c r="V36" s="2">
        <f t="shared" si="3"/>
        <v>-7736</v>
      </c>
      <c r="W36" s="2">
        <f t="shared" si="3"/>
        <v>-7736</v>
      </c>
      <c r="X36" s="2">
        <f t="shared" si="3"/>
        <v>-7736</v>
      </c>
      <c r="Y36" s="2">
        <f t="shared" si="3"/>
        <v>-7736</v>
      </c>
      <c r="Z36" s="2">
        <f t="shared" si="3"/>
        <v>-7736</v>
      </c>
      <c r="AA36" s="2">
        <f t="shared" si="3"/>
        <v>-7736</v>
      </c>
      <c r="AB36" s="2">
        <f t="shared" si="3"/>
        <v>-7736</v>
      </c>
      <c r="AC36" s="2">
        <f t="shared" si="3"/>
        <v>-7736</v>
      </c>
      <c r="AD36" s="2">
        <f t="shared" si="3"/>
        <v>-7736</v>
      </c>
      <c r="AE36" s="2">
        <f t="shared" si="3"/>
        <v>-7736</v>
      </c>
      <c r="AF36" s="2">
        <f t="shared" si="3"/>
        <v>-7736</v>
      </c>
      <c r="AG36" s="2">
        <f t="shared" si="3"/>
        <v>-7736</v>
      </c>
      <c r="AH36" s="2">
        <f t="shared" si="3"/>
        <v>-7736</v>
      </c>
      <c r="AI36" s="2">
        <f t="shared" si="3"/>
        <v>-7736</v>
      </c>
      <c r="AJ36" s="2">
        <f t="shared" si="3"/>
        <v>-7736</v>
      </c>
      <c r="AK36" s="2">
        <f t="shared" si="3"/>
        <v>-7736</v>
      </c>
      <c r="AL36" s="2">
        <f t="shared" si="3"/>
        <v>-7736</v>
      </c>
      <c r="AM36" s="2">
        <f t="shared" si="3"/>
        <v>-7736</v>
      </c>
      <c r="AN36" s="2">
        <f t="shared" si="3"/>
        <v>-7736</v>
      </c>
      <c r="AO36" s="2">
        <f t="shared" si="3"/>
        <v>-7736</v>
      </c>
      <c r="AP36" s="2">
        <f t="shared" si="3"/>
        <v>-7736</v>
      </c>
      <c r="AQ36" s="2">
        <f t="shared" si="3"/>
        <v>-7736</v>
      </c>
      <c r="AR36" s="2">
        <f t="shared" si="3"/>
        <v>-7736</v>
      </c>
      <c r="AS36" s="2">
        <f t="shared" si="3"/>
        <v>-7736</v>
      </c>
      <c r="AT36" s="2">
        <f t="shared" si="3"/>
        <v>-7736</v>
      </c>
      <c r="AU36" s="2">
        <f t="shared" si="3"/>
        <v>-7736</v>
      </c>
      <c r="AV36" s="2">
        <f t="shared" si="3"/>
        <v>-7736</v>
      </c>
      <c r="AW36" s="2">
        <f t="shared" si="3"/>
        <v>-7736</v>
      </c>
      <c r="AX36" s="2">
        <f t="shared" si="3"/>
        <v>-7736</v>
      </c>
    </row>
    <row r="37" spans="2:50" x14ac:dyDescent="0.25">
      <c r="B37" s="1" t="s">
        <v>14</v>
      </c>
      <c r="C37" s="6">
        <f>$C$3+C36</f>
        <v>120753</v>
      </c>
      <c r="D37" s="2">
        <f t="shared" ref="D37:J37" si="4">C37*(1+$C$6)+D36</f>
        <v>125128.59</v>
      </c>
      <c r="E37" s="2">
        <f t="shared" si="4"/>
        <v>157135.44770000002</v>
      </c>
      <c r="F37" s="2">
        <f t="shared" si="4"/>
        <v>155102.51113100004</v>
      </c>
      <c r="G37" s="2">
        <f t="shared" si="4"/>
        <v>147019.58646493003</v>
      </c>
      <c r="H37" s="2">
        <f t="shared" si="4"/>
        <v>138694.17405887795</v>
      </c>
      <c r="I37" s="2">
        <f t="shared" si="4"/>
        <v>135118.99928064429</v>
      </c>
      <c r="J37" s="11">
        <f t="shared" si="4"/>
        <v>131436.56925906363</v>
      </c>
      <c r="K37" s="2"/>
      <c r="L37" s="2">
        <f>J37*(1+$C$6)+L36</f>
        <v>127643.66633683554</v>
      </c>
      <c r="M37" s="2">
        <f t="shared" ref="M37:AX37" si="5">L37*(1+$C$6)+M36</f>
        <v>123736.97632694061</v>
      </c>
      <c r="N37" s="2">
        <f t="shared" si="5"/>
        <v>119713.08561674884</v>
      </c>
      <c r="O37" s="2">
        <f t="shared" si="5"/>
        <v>115568.47818525131</v>
      </c>
      <c r="P37" s="2">
        <f t="shared" si="5"/>
        <v>111299.53253080885</v>
      </c>
      <c r="Q37" s="2">
        <f t="shared" si="5"/>
        <v>106902.51850673312</v>
      </c>
      <c r="R37" s="2">
        <f t="shared" si="5"/>
        <v>102373.59406193512</v>
      </c>
      <c r="S37" s="2">
        <f t="shared" si="5"/>
        <v>97708.801883793174</v>
      </c>
      <c r="T37" s="2">
        <f t="shared" si="5"/>
        <v>92904.065940306973</v>
      </c>
      <c r="U37" s="2">
        <f t="shared" si="5"/>
        <v>87955.187918516182</v>
      </c>
      <c r="V37" s="2">
        <f t="shared" si="5"/>
        <v>82857.843556071675</v>
      </c>
      <c r="W37" s="2">
        <f t="shared" si="5"/>
        <v>77607.578862753828</v>
      </c>
      <c r="X37" s="2">
        <f t="shared" si="5"/>
        <v>72199.806228636444</v>
      </c>
      <c r="Y37" s="2">
        <f t="shared" si="5"/>
        <v>66629.800415495542</v>
      </c>
      <c r="Z37" s="2">
        <f t="shared" si="5"/>
        <v>60892.694427960407</v>
      </c>
      <c r="AA37" s="2">
        <f t="shared" si="5"/>
        <v>54983.47526079922</v>
      </c>
      <c r="AB37" s="2">
        <f t="shared" si="5"/>
        <v>48896.9795186232</v>
      </c>
      <c r="AC37" s="2">
        <f t="shared" si="5"/>
        <v>42627.888904181898</v>
      </c>
      <c r="AD37" s="2">
        <f t="shared" si="5"/>
        <v>36170.725571307354</v>
      </c>
      <c r="AE37" s="2">
        <f t="shared" si="5"/>
        <v>29519.847338446576</v>
      </c>
      <c r="AF37" s="2">
        <f t="shared" si="5"/>
        <v>22669.442758599973</v>
      </c>
      <c r="AG37" s="2">
        <f t="shared" si="5"/>
        <v>15613.526041357974</v>
      </c>
      <c r="AH37" s="2">
        <f t="shared" si="5"/>
        <v>8345.9318225987136</v>
      </c>
      <c r="AI37" s="2">
        <f t="shared" si="5"/>
        <v>860.30977727667596</v>
      </c>
      <c r="AJ37" s="2">
        <f t="shared" si="5"/>
        <v>-6849.8809294050234</v>
      </c>
      <c r="AK37" s="2">
        <f t="shared" si="5"/>
        <v>-14791.377357287174</v>
      </c>
      <c r="AL37" s="2">
        <f t="shared" si="5"/>
        <v>-22971.118678005791</v>
      </c>
      <c r="AM37" s="2">
        <f t="shared" si="5"/>
        <v>-31396.252238345965</v>
      </c>
      <c r="AN37" s="2">
        <f t="shared" si="5"/>
        <v>-40074.13980549635</v>
      </c>
      <c r="AO37" s="2">
        <f t="shared" si="5"/>
        <v>-49012.36399966124</v>
      </c>
      <c r="AP37" s="2">
        <f t="shared" si="5"/>
        <v>-58218.734919651077</v>
      </c>
      <c r="AQ37" s="2">
        <f t="shared" si="5"/>
        <v>-67701.296967240603</v>
      </c>
      <c r="AR37" s="2">
        <f t="shared" si="5"/>
        <v>-77468.335876257828</v>
      </c>
      <c r="AS37" s="2">
        <f t="shared" si="5"/>
        <v>-87528.385952545563</v>
      </c>
      <c r="AT37" s="2">
        <f t="shared" si="5"/>
        <v>-97890.237531121937</v>
      </c>
      <c r="AU37" s="2">
        <f t="shared" si="5"/>
        <v>-108562.9446570556</v>
      </c>
      <c r="AV37" s="2">
        <f t="shared" si="5"/>
        <v>-119555.83299676728</v>
      </c>
      <c r="AW37" s="2">
        <f t="shared" si="5"/>
        <v>-130878.5079866703</v>
      </c>
      <c r="AX37" s="2">
        <f t="shared" si="5"/>
        <v>-142540.86322627042</v>
      </c>
    </row>
    <row r="39" spans="2:50" x14ac:dyDescent="0.25">
      <c r="B39" s="1" t="s">
        <v>12</v>
      </c>
      <c r="C39" s="11">
        <v>0</v>
      </c>
      <c r="D39" s="2">
        <v>0</v>
      </c>
      <c r="E39" s="11">
        <v>50000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/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</row>
    <row r="40" spans="2:50" x14ac:dyDescent="0.25">
      <c r="B40" s="1" t="s">
        <v>30</v>
      </c>
      <c r="C40" s="7">
        <v>2500</v>
      </c>
      <c r="D40" s="7">
        <v>2500</v>
      </c>
      <c r="E40" s="7">
        <v>25000</v>
      </c>
      <c r="F40" s="7">
        <v>10000</v>
      </c>
      <c r="G40" s="7">
        <v>5000</v>
      </c>
      <c r="H40" s="7">
        <v>5000</v>
      </c>
      <c r="I40" s="7">
        <v>0</v>
      </c>
      <c r="J40" s="7">
        <v>0</v>
      </c>
      <c r="L40" s="10">
        <f>J40</f>
        <v>0</v>
      </c>
      <c r="M40" s="10">
        <f>L40</f>
        <v>0</v>
      </c>
      <c r="N40" s="10">
        <f t="shared" ref="N40:AX40" si="6">M40</f>
        <v>0</v>
      </c>
      <c r="O40" s="10">
        <f t="shared" si="6"/>
        <v>0</v>
      </c>
      <c r="P40" s="10">
        <f t="shared" si="6"/>
        <v>0</v>
      </c>
      <c r="Q40" s="10">
        <f t="shared" si="6"/>
        <v>0</v>
      </c>
      <c r="R40" s="10">
        <f t="shared" si="6"/>
        <v>0</v>
      </c>
      <c r="S40" s="10">
        <f t="shared" si="6"/>
        <v>0</v>
      </c>
      <c r="T40" s="10">
        <f t="shared" si="6"/>
        <v>0</v>
      </c>
      <c r="U40" s="10">
        <f t="shared" si="6"/>
        <v>0</v>
      </c>
      <c r="V40" s="10">
        <f t="shared" si="6"/>
        <v>0</v>
      </c>
      <c r="W40" s="10">
        <f t="shared" si="6"/>
        <v>0</v>
      </c>
      <c r="X40" s="10">
        <f t="shared" si="6"/>
        <v>0</v>
      </c>
      <c r="Y40" s="10">
        <f t="shared" si="6"/>
        <v>0</v>
      </c>
      <c r="Z40" s="10">
        <f t="shared" si="6"/>
        <v>0</v>
      </c>
      <c r="AA40" s="10">
        <f t="shared" si="6"/>
        <v>0</v>
      </c>
      <c r="AB40" s="10">
        <f t="shared" si="6"/>
        <v>0</v>
      </c>
      <c r="AC40" s="10">
        <f t="shared" si="6"/>
        <v>0</v>
      </c>
      <c r="AD40" s="10">
        <f t="shared" si="6"/>
        <v>0</v>
      </c>
      <c r="AE40" s="10">
        <f t="shared" si="6"/>
        <v>0</v>
      </c>
      <c r="AF40" s="10">
        <f t="shared" si="6"/>
        <v>0</v>
      </c>
      <c r="AG40" s="10">
        <f t="shared" si="6"/>
        <v>0</v>
      </c>
      <c r="AH40" s="10">
        <f t="shared" si="6"/>
        <v>0</v>
      </c>
      <c r="AI40" s="10">
        <f t="shared" si="6"/>
        <v>0</v>
      </c>
      <c r="AJ40" s="10">
        <f t="shared" si="6"/>
        <v>0</v>
      </c>
      <c r="AK40" s="10">
        <f t="shared" si="6"/>
        <v>0</v>
      </c>
      <c r="AL40" s="10">
        <f t="shared" si="6"/>
        <v>0</v>
      </c>
      <c r="AM40" s="10">
        <f t="shared" si="6"/>
        <v>0</v>
      </c>
      <c r="AN40" s="10">
        <f t="shared" si="6"/>
        <v>0</v>
      </c>
      <c r="AO40" s="10">
        <f t="shared" si="6"/>
        <v>0</v>
      </c>
      <c r="AP40" s="10">
        <f t="shared" si="6"/>
        <v>0</v>
      </c>
      <c r="AQ40" s="10">
        <f t="shared" si="6"/>
        <v>0</v>
      </c>
      <c r="AR40" s="10">
        <f t="shared" si="6"/>
        <v>0</v>
      </c>
      <c r="AS40" s="10">
        <f t="shared" si="6"/>
        <v>0</v>
      </c>
      <c r="AT40" s="10">
        <f t="shared" si="6"/>
        <v>0</v>
      </c>
      <c r="AU40" s="10">
        <f t="shared" si="6"/>
        <v>0</v>
      </c>
      <c r="AV40" s="10">
        <f t="shared" si="6"/>
        <v>0</v>
      </c>
      <c r="AW40" s="10">
        <f t="shared" si="6"/>
        <v>0</v>
      </c>
      <c r="AX40" s="10">
        <f t="shared" si="6"/>
        <v>0</v>
      </c>
    </row>
  </sheetData>
  <mergeCells count="3">
    <mergeCell ref="L14:N29"/>
    <mergeCell ref="C32:F32"/>
    <mergeCell ref="G32:J3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2FDCD-F2AB-4805-B765-A09A4E48C1B9}">
  <dimension ref="B2:AX27"/>
  <sheetViews>
    <sheetView workbookViewId="0">
      <selection activeCell="B17" sqref="B17"/>
    </sheetView>
  </sheetViews>
  <sheetFormatPr defaultRowHeight="15" x14ac:dyDescent="0.25"/>
  <cols>
    <col min="2" max="2" width="46.7109375" style="1" customWidth="1"/>
    <col min="3" max="9" width="15.7109375" customWidth="1"/>
    <col min="10" max="10" width="12.7109375" customWidth="1"/>
    <col min="11" max="11" width="4.7109375" customWidth="1"/>
    <col min="12" max="50" width="12.7109375" customWidth="1"/>
  </cols>
  <sheetData>
    <row r="2" spans="2:10" x14ac:dyDescent="0.25">
      <c r="B2" s="3" t="s">
        <v>17</v>
      </c>
    </row>
    <row r="3" spans="2:10" x14ac:dyDescent="0.25">
      <c r="B3" s="1" t="s">
        <v>9</v>
      </c>
      <c r="C3" s="8">
        <v>120000</v>
      </c>
    </row>
    <row r="4" spans="2:10" x14ac:dyDescent="0.25">
      <c r="B4" s="1" t="s">
        <v>7</v>
      </c>
      <c r="C4" s="8">
        <v>30253</v>
      </c>
    </row>
    <row r="5" spans="2:10" x14ac:dyDescent="0.25">
      <c r="B5" s="1" t="s">
        <v>8</v>
      </c>
      <c r="C5" s="8">
        <v>17264</v>
      </c>
    </row>
    <row r="6" spans="2:10" x14ac:dyDescent="0.25">
      <c r="B6" s="1" t="s">
        <v>6</v>
      </c>
      <c r="C6" s="9">
        <v>0.03</v>
      </c>
    </row>
    <row r="7" spans="2:10" x14ac:dyDescent="0.25">
      <c r="B7" s="1" t="s">
        <v>13</v>
      </c>
      <c r="C7" s="8">
        <v>50000</v>
      </c>
    </row>
    <row r="8" spans="2:10" x14ac:dyDescent="0.25">
      <c r="B8" s="1" t="s">
        <v>10</v>
      </c>
      <c r="C8" t="s">
        <v>11</v>
      </c>
    </row>
    <row r="9" spans="2:10" x14ac:dyDescent="0.25">
      <c r="C9" s="19" t="s">
        <v>23</v>
      </c>
    </row>
    <row r="10" spans="2:10" s="16" customFormat="1" ht="15.75" thickBot="1" x14ac:dyDescent="0.3"/>
    <row r="11" spans="2:10" ht="15.75" thickTop="1" x14ac:dyDescent="0.25"/>
    <row r="12" spans="2:10" x14ac:dyDescent="0.25">
      <c r="B12" s="3" t="s">
        <v>19</v>
      </c>
      <c r="C12" s="18" t="s">
        <v>20</v>
      </c>
    </row>
    <row r="13" spans="2:10" x14ac:dyDescent="0.25">
      <c r="B13" s="3"/>
      <c r="C13" s="18"/>
    </row>
    <row r="14" spans="2:10" ht="15" customHeight="1" x14ac:dyDescent="0.25">
      <c r="C14" s="20" t="s">
        <v>15</v>
      </c>
      <c r="D14" s="20"/>
      <c r="E14" s="20"/>
      <c r="F14" s="20"/>
      <c r="G14" s="20" t="s">
        <v>16</v>
      </c>
      <c r="H14" s="20"/>
      <c r="I14" s="20"/>
      <c r="J14" s="20"/>
    </row>
    <row r="15" spans="2:10" x14ac:dyDescent="0.25">
      <c r="B15" s="4" t="s">
        <v>5</v>
      </c>
      <c r="C15" s="4">
        <v>63</v>
      </c>
      <c r="D15" s="4">
        <f>C15+1</f>
        <v>64</v>
      </c>
      <c r="E15" s="4">
        <f t="shared" ref="E15" si="0">D15+1</f>
        <v>65</v>
      </c>
      <c r="F15" s="4">
        <f t="shared" ref="F15" si="1">E15+1</f>
        <v>66</v>
      </c>
      <c r="G15" s="4">
        <f t="shared" ref="G15" si="2">F15+1</f>
        <v>67</v>
      </c>
      <c r="H15" s="4">
        <f t="shared" ref="H15" si="3">G15+1</f>
        <v>68</v>
      </c>
      <c r="I15" s="4">
        <f t="shared" ref="I15" si="4">H15+1</f>
        <v>69</v>
      </c>
      <c r="J15" s="4">
        <f t="shared" ref="J15" si="5">I15+1</f>
        <v>70</v>
      </c>
    </row>
    <row r="16" spans="2:10" x14ac:dyDescent="0.25">
      <c r="B16" s="1" t="s">
        <v>12</v>
      </c>
      <c r="C16" s="2">
        <f>C7</f>
        <v>50000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</row>
    <row r="17" spans="2:50" x14ac:dyDescent="0.25">
      <c r="B17" s="1" t="s">
        <v>30</v>
      </c>
      <c r="C17" s="7">
        <v>30000</v>
      </c>
      <c r="D17" s="7">
        <v>10000</v>
      </c>
      <c r="E17" s="7">
        <v>5000</v>
      </c>
      <c r="F17" s="7">
        <v>5000</v>
      </c>
      <c r="G17" s="7">
        <v>0</v>
      </c>
      <c r="H17" s="7">
        <v>0</v>
      </c>
      <c r="I17" s="7">
        <v>0</v>
      </c>
      <c r="J17" s="7">
        <v>0</v>
      </c>
    </row>
    <row r="19" spans="2:50" ht="15" customHeight="1" x14ac:dyDescent="0.25">
      <c r="B19" s="3" t="s">
        <v>22</v>
      </c>
      <c r="C19" s="20" t="s">
        <v>3</v>
      </c>
      <c r="D19" s="20"/>
      <c r="E19" s="20"/>
      <c r="F19" s="20"/>
      <c r="G19" s="20" t="s">
        <v>4</v>
      </c>
      <c r="H19" s="20"/>
      <c r="I19" s="20"/>
      <c r="J19" s="20"/>
      <c r="K19" s="5"/>
    </row>
    <row r="20" spans="2:50" s="4" customFormat="1" x14ac:dyDescent="0.25">
      <c r="B20" s="4" t="s">
        <v>5</v>
      </c>
      <c r="C20" s="4">
        <v>63</v>
      </c>
      <c r="D20" s="4">
        <f>C20+1</f>
        <v>64</v>
      </c>
      <c r="E20" s="4">
        <f t="shared" ref="E20:AX20" si="6">D20+1</f>
        <v>65</v>
      </c>
      <c r="F20" s="4">
        <f t="shared" si="6"/>
        <v>66</v>
      </c>
      <c r="G20" s="4">
        <f t="shared" si="6"/>
        <v>67</v>
      </c>
      <c r="H20" s="4">
        <f t="shared" si="6"/>
        <v>68</v>
      </c>
      <c r="I20" s="4">
        <f t="shared" si="6"/>
        <v>69</v>
      </c>
      <c r="J20" s="4">
        <f t="shared" si="6"/>
        <v>70</v>
      </c>
      <c r="K20" s="3"/>
      <c r="L20" s="4">
        <f>J20+1</f>
        <v>71</v>
      </c>
      <c r="M20" s="4">
        <f t="shared" si="6"/>
        <v>72</v>
      </c>
      <c r="N20" s="4">
        <f t="shared" si="6"/>
        <v>73</v>
      </c>
      <c r="O20" s="4">
        <f t="shared" si="6"/>
        <v>74</v>
      </c>
      <c r="P20" s="4">
        <f t="shared" si="6"/>
        <v>75</v>
      </c>
      <c r="Q20" s="4">
        <f t="shared" si="6"/>
        <v>76</v>
      </c>
      <c r="R20" s="4">
        <f t="shared" si="6"/>
        <v>77</v>
      </c>
      <c r="S20" s="4">
        <f t="shared" si="6"/>
        <v>78</v>
      </c>
      <c r="T20" s="4">
        <f t="shared" si="6"/>
        <v>79</v>
      </c>
      <c r="U20" s="4">
        <f t="shared" si="6"/>
        <v>80</v>
      </c>
      <c r="V20" s="4">
        <f t="shared" si="6"/>
        <v>81</v>
      </c>
      <c r="W20" s="4">
        <f t="shared" si="6"/>
        <v>82</v>
      </c>
      <c r="X20" s="4">
        <f t="shared" si="6"/>
        <v>83</v>
      </c>
      <c r="Y20" s="4">
        <f t="shared" si="6"/>
        <v>84</v>
      </c>
      <c r="Z20" s="4">
        <f t="shared" si="6"/>
        <v>85</v>
      </c>
      <c r="AA20" s="4">
        <f t="shared" si="6"/>
        <v>86</v>
      </c>
      <c r="AB20" s="4">
        <f t="shared" si="6"/>
        <v>87</v>
      </c>
      <c r="AC20" s="4">
        <f t="shared" si="6"/>
        <v>88</v>
      </c>
      <c r="AD20" s="4">
        <f t="shared" si="6"/>
        <v>89</v>
      </c>
      <c r="AE20" s="4">
        <f t="shared" si="6"/>
        <v>90</v>
      </c>
      <c r="AF20" s="4">
        <f t="shared" si="6"/>
        <v>91</v>
      </c>
      <c r="AG20" s="4">
        <f t="shared" si="6"/>
        <v>92</v>
      </c>
      <c r="AH20" s="4">
        <f t="shared" si="6"/>
        <v>93</v>
      </c>
      <c r="AI20" s="4">
        <f t="shared" si="6"/>
        <v>94</v>
      </c>
      <c r="AJ20" s="4">
        <f t="shared" si="6"/>
        <v>95</v>
      </c>
      <c r="AK20" s="4">
        <f t="shared" si="6"/>
        <v>96</v>
      </c>
      <c r="AL20" s="4">
        <f t="shared" si="6"/>
        <v>97</v>
      </c>
      <c r="AM20" s="4">
        <f t="shared" si="6"/>
        <v>98</v>
      </c>
      <c r="AN20" s="4">
        <f t="shared" si="6"/>
        <v>99</v>
      </c>
      <c r="AO20" s="4">
        <f t="shared" si="6"/>
        <v>100</v>
      </c>
      <c r="AP20" s="4">
        <f t="shared" si="6"/>
        <v>101</v>
      </c>
      <c r="AQ20" s="4">
        <f t="shared" si="6"/>
        <v>102</v>
      </c>
      <c r="AR20" s="4">
        <f t="shared" si="6"/>
        <v>103</v>
      </c>
      <c r="AS20" s="4">
        <f t="shared" si="6"/>
        <v>104</v>
      </c>
      <c r="AT20" s="4">
        <f t="shared" si="6"/>
        <v>105</v>
      </c>
      <c r="AU20" s="4">
        <f t="shared" si="6"/>
        <v>106</v>
      </c>
      <c r="AV20" s="4">
        <f t="shared" si="6"/>
        <v>107</v>
      </c>
      <c r="AW20" s="4">
        <f t="shared" si="6"/>
        <v>108</v>
      </c>
      <c r="AX20" s="4">
        <f t="shared" si="6"/>
        <v>109</v>
      </c>
    </row>
    <row r="21" spans="2:50" x14ac:dyDescent="0.25">
      <c r="B21" s="1" t="s">
        <v>0</v>
      </c>
      <c r="C21" s="2">
        <f>$C$4</f>
        <v>30253</v>
      </c>
      <c r="D21" s="2">
        <f>$C$4</f>
        <v>30253</v>
      </c>
      <c r="E21" s="2">
        <f>$C$4</f>
        <v>30253</v>
      </c>
      <c r="F21" s="2">
        <f>$C$4</f>
        <v>30253</v>
      </c>
      <c r="G21" s="2">
        <f>$C$5</f>
        <v>17264</v>
      </c>
      <c r="H21" s="2">
        <f>$C$5</f>
        <v>17264</v>
      </c>
      <c r="I21" s="2">
        <f>$C$5</f>
        <v>17264</v>
      </c>
      <c r="J21" s="2">
        <f>$C$5</f>
        <v>17264</v>
      </c>
      <c r="K21" s="2"/>
      <c r="L21" s="2">
        <f t="shared" ref="L21:AX21" si="7">$C$5</f>
        <v>17264</v>
      </c>
      <c r="M21" s="2">
        <f t="shared" si="7"/>
        <v>17264</v>
      </c>
      <c r="N21" s="2">
        <f t="shared" si="7"/>
        <v>17264</v>
      </c>
      <c r="O21" s="2">
        <f t="shared" si="7"/>
        <v>17264</v>
      </c>
      <c r="P21" s="2">
        <f t="shared" si="7"/>
        <v>17264</v>
      </c>
      <c r="Q21" s="2">
        <f t="shared" si="7"/>
        <v>17264</v>
      </c>
      <c r="R21" s="2">
        <f t="shared" si="7"/>
        <v>17264</v>
      </c>
      <c r="S21" s="2">
        <f t="shared" si="7"/>
        <v>17264</v>
      </c>
      <c r="T21" s="2">
        <f t="shared" si="7"/>
        <v>17264</v>
      </c>
      <c r="U21" s="2">
        <f t="shared" si="7"/>
        <v>17264</v>
      </c>
      <c r="V21" s="2">
        <f t="shared" si="7"/>
        <v>17264</v>
      </c>
      <c r="W21" s="2">
        <f t="shared" si="7"/>
        <v>17264</v>
      </c>
      <c r="X21" s="2">
        <f t="shared" si="7"/>
        <v>17264</v>
      </c>
      <c r="Y21" s="2">
        <f t="shared" si="7"/>
        <v>17264</v>
      </c>
      <c r="Z21" s="2">
        <f t="shared" si="7"/>
        <v>17264</v>
      </c>
      <c r="AA21" s="2">
        <f t="shared" si="7"/>
        <v>17264</v>
      </c>
      <c r="AB21" s="2">
        <f t="shared" si="7"/>
        <v>17264</v>
      </c>
      <c r="AC21" s="2">
        <f t="shared" si="7"/>
        <v>17264</v>
      </c>
      <c r="AD21" s="2">
        <f t="shared" si="7"/>
        <v>17264</v>
      </c>
      <c r="AE21" s="2">
        <f t="shared" si="7"/>
        <v>17264</v>
      </c>
      <c r="AF21" s="2">
        <f t="shared" si="7"/>
        <v>17264</v>
      </c>
      <c r="AG21" s="2">
        <f t="shared" si="7"/>
        <v>17264</v>
      </c>
      <c r="AH21" s="2">
        <f t="shared" si="7"/>
        <v>17264</v>
      </c>
      <c r="AI21" s="2">
        <f t="shared" si="7"/>
        <v>17264</v>
      </c>
      <c r="AJ21" s="2">
        <f t="shared" si="7"/>
        <v>17264</v>
      </c>
      <c r="AK21" s="2">
        <f t="shared" si="7"/>
        <v>17264</v>
      </c>
      <c r="AL21" s="2">
        <f t="shared" si="7"/>
        <v>17264</v>
      </c>
      <c r="AM21" s="2">
        <f t="shared" si="7"/>
        <v>17264</v>
      </c>
      <c r="AN21" s="2">
        <f t="shared" si="7"/>
        <v>17264</v>
      </c>
      <c r="AO21" s="2">
        <f t="shared" si="7"/>
        <v>17264</v>
      </c>
      <c r="AP21" s="2">
        <f t="shared" si="7"/>
        <v>17264</v>
      </c>
      <c r="AQ21" s="2">
        <f t="shared" si="7"/>
        <v>17264</v>
      </c>
      <c r="AR21" s="2">
        <f t="shared" si="7"/>
        <v>17264</v>
      </c>
      <c r="AS21" s="2">
        <f t="shared" si="7"/>
        <v>17264</v>
      </c>
      <c r="AT21" s="2">
        <f t="shared" si="7"/>
        <v>17264</v>
      </c>
      <c r="AU21" s="2">
        <f t="shared" si="7"/>
        <v>17264</v>
      </c>
      <c r="AV21" s="2">
        <f t="shared" si="7"/>
        <v>17264</v>
      </c>
      <c r="AW21" s="2">
        <f t="shared" si="7"/>
        <v>17264</v>
      </c>
      <c r="AX21" s="2">
        <f t="shared" si="7"/>
        <v>17264</v>
      </c>
    </row>
    <row r="22" spans="2:50" x14ac:dyDescent="0.25">
      <c r="B22" s="1" t="s">
        <v>1</v>
      </c>
      <c r="C22" s="2">
        <v>27000</v>
      </c>
      <c r="D22" s="2">
        <v>27000</v>
      </c>
      <c r="E22" s="2">
        <v>27000</v>
      </c>
      <c r="F22" s="2">
        <v>27000</v>
      </c>
      <c r="G22" s="2">
        <v>25000</v>
      </c>
      <c r="H22" s="2">
        <v>25000</v>
      </c>
      <c r="I22" s="2">
        <v>25000</v>
      </c>
      <c r="J22" s="2">
        <v>25000</v>
      </c>
      <c r="K22" s="2"/>
      <c r="L22" s="10">
        <f>J22</f>
        <v>25000</v>
      </c>
      <c r="M22" s="10">
        <f>L22</f>
        <v>25000</v>
      </c>
      <c r="N22" s="10">
        <f t="shared" ref="N22:AX22" si="8">M22</f>
        <v>25000</v>
      </c>
      <c r="O22" s="10">
        <f t="shared" si="8"/>
        <v>25000</v>
      </c>
      <c r="P22" s="10">
        <f t="shared" si="8"/>
        <v>25000</v>
      </c>
      <c r="Q22" s="10">
        <f t="shared" si="8"/>
        <v>25000</v>
      </c>
      <c r="R22" s="10">
        <f t="shared" si="8"/>
        <v>25000</v>
      </c>
      <c r="S22" s="10">
        <f t="shared" si="8"/>
        <v>25000</v>
      </c>
      <c r="T22" s="10">
        <f t="shared" si="8"/>
        <v>25000</v>
      </c>
      <c r="U22" s="10">
        <f t="shared" si="8"/>
        <v>25000</v>
      </c>
      <c r="V22" s="10">
        <f t="shared" si="8"/>
        <v>25000</v>
      </c>
      <c r="W22" s="10">
        <f t="shared" si="8"/>
        <v>25000</v>
      </c>
      <c r="X22" s="10">
        <f t="shared" si="8"/>
        <v>25000</v>
      </c>
      <c r="Y22" s="10">
        <f t="shared" si="8"/>
        <v>25000</v>
      </c>
      <c r="Z22" s="10">
        <f t="shared" si="8"/>
        <v>25000</v>
      </c>
      <c r="AA22" s="10">
        <f t="shared" si="8"/>
        <v>25000</v>
      </c>
      <c r="AB22" s="10">
        <f t="shared" si="8"/>
        <v>25000</v>
      </c>
      <c r="AC22" s="10">
        <f t="shared" si="8"/>
        <v>25000</v>
      </c>
      <c r="AD22" s="10">
        <f t="shared" si="8"/>
        <v>25000</v>
      </c>
      <c r="AE22" s="10">
        <f t="shared" si="8"/>
        <v>25000</v>
      </c>
      <c r="AF22" s="10">
        <f t="shared" si="8"/>
        <v>25000</v>
      </c>
      <c r="AG22" s="10">
        <f t="shared" si="8"/>
        <v>25000</v>
      </c>
      <c r="AH22" s="10">
        <f t="shared" si="8"/>
        <v>25000</v>
      </c>
      <c r="AI22" s="10">
        <f t="shared" si="8"/>
        <v>25000</v>
      </c>
      <c r="AJ22" s="10">
        <f t="shared" si="8"/>
        <v>25000</v>
      </c>
      <c r="AK22" s="10">
        <f t="shared" si="8"/>
        <v>25000</v>
      </c>
      <c r="AL22" s="10">
        <f t="shared" si="8"/>
        <v>25000</v>
      </c>
      <c r="AM22" s="10">
        <f t="shared" si="8"/>
        <v>25000</v>
      </c>
      <c r="AN22" s="10">
        <f t="shared" si="8"/>
        <v>25000</v>
      </c>
      <c r="AO22" s="10">
        <f t="shared" si="8"/>
        <v>25000</v>
      </c>
      <c r="AP22" s="10">
        <f t="shared" si="8"/>
        <v>25000</v>
      </c>
      <c r="AQ22" s="10">
        <f t="shared" si="8"/>
        <v>25000</v>
      </c>
      <c r="AR22" s="10">
        <f t="shared" si="8"/>
        <v>25000</v>
      </c>
      <c r="AS22" s="10">
        <f t="shared" si="8"/>
        <v>25000</v>
      </c>
      <c r="AT22" s="10">
        <f t="shared" si="8"/>
        <v>25000</v>
      </c>
      <c r="AU22" s="10">
        <f t="shared" si="8"/>
        <v>25000</v>
      </c>
      <c r="AV22" s="10">
        <f t="shared" si="8"/>
        <v>25000</v>
      </c>
      <c r="AW22" s="10">
        <f t="shared" si="8"/>
        <v>25000</v>
      </c>
      <c r="AX22" s="10">
        <f t="shared" si="8"/>
        <v>25000</v>
      </c>
    </row>
    <row r="23" spans="2:50" x14ac:dyDescent="0.25">
      <c r="B23" s="1" t="s">
        <v>2</v>
      </c>
      <c r="C23" s="2">
        <f t="shared" ref="C23:AX23" si="9">C21-C22</f>
        <v>3253</v>
      </c>
      <c r="D23" s="2">
        <f t="shared" si="9"/>
        <v>3253</v>
      </c>
      <c r="E23" s="2">
        <f t="shared" si="9"/>
        <v>3253</v>
      </c>
      <c r="F23" s="2">
        <f t="shared" si="9"/>
        <v>3253</v>
      </c>
      <c r="G23" s="2">
        <f t="shared" si="9"/>
        <v>-7736</v>
      </c>
      <c r="H23" s="2">
        <f t="shared" si="9"/>
        <v>-7736</v>
      </c>
      <c r="I23" s="2">
        <f t="shared" si="9"/>
        <v>-7736</v>
      </c>
      <c r="J23" s="2">
        <f t="shared" si="9"/>
        <v>-7736</v>
      </c>
      <c r="K23" s="2"/>
      <c r="L23" s="2">
        <f t="shared" si="9"/>
        <v>-7736</v>
      </c>
      <c r="M23" s="2">
        <f t="shared" si="9"/>
        <v>-7736</v>
      </c>
      <c r="N23" s="2">
        <f t="shared" si="9"/>
        <v>-7736</v>
      </c>
      <c r="O23" s="2">
        <f t="shared" si="9"/>
        <v>-7736</v>
      </c>
      <c r="P23" s="2">
        <f t="shared" si="9"/>
        <v>-7736</v>
      </c>
      <c r="Q23" s="2">
        <f t="shared" si="9"/>
        <v>-7736</v>
      </c>
      <c r="R23" s="2">
        <f t="shared" si="9"/>
        <v>-7736</v>
      </c>
      <c r="S23" s="2">
        <f t="shared" si="9"/>
        <v>-7736</v>
      </c>
      <c r="T23" s="2">
        <f t="shared" si="9"/>
        <v>-7736</v>
      </c>
      <c r="U23" s="2">
        <f t="shared" si="9"/>
        <v>-7736</v>
      </c>
      <c r="V23" s="2">
        <f t="shared" si="9"/>
        <v>-7736</v>
      </c>
      <c r="W23" s="2">
        <f t="shared" si="9"/>
        <v>-7736</v>
      </c>
      <c r="X23" s="2">
        <f t="shared" si="9"/>
        <v>-7736</v>
      </c>
      <c r="Y23" s="2">
        <f t="shared" si="9"/>
        <v>-7736</v>
      </c>
      <c r="Z23" s="2">
        <f t="shared" si="9"/>
        <v>-7736</v>
      </c>
      <c r="AA23" s="2">
        <f t="shared" si="9"/>
        <v>-7736</v>
      </c>
      <c r="AB23" s="2">
        <f t="shared" si="9"/>
        <v>-7736</v>
      </c>
      <c r="AC23" s="2">
        <f t="shared" si="9"/>
        <v>-7736</v>
      </c>
      <c r="AD23" s="2">
        <f t="shared" si="9"/>
        <v>-7736</v>
      </c>
      <c r="AE23" s="2">
        <f t="shared" si="9"/>
        <v>-7736</v>
      </c>
      <c r="AF23" s="2">
        <f t="shared" si="9"/>
        <v>-7736</v>
      </c>
      <c r="AG23" s="2">
        <f t="shared" si="9"/>
        <v>-7736</v>
      </c>
      <c r="AH23" s="2">
        <f t="shared" si="9"/>
        <v>-7736</v>
      </c>
      <c r="AI23" s="2">
        <f t="shared" si="9"/>
        <v>-7736</v>
      </c>
      <c r="AJ23" s="2">
        <f t="shared" si="9"/>
        <v>-7736</v>
      </c>
      <c r="AK23" s="2">
        <f t="shared" si="9"/>
        <v>-7736</v>
      </c>
      <c r="AL23" s="2">
        <f t="shared" si="9"/>
        <v>-7736</v>
      </c>
      <c r="AM23" s="2">
        <f t="shared" si="9"/>
        <v>-7736</v>
      </c>
      <c r="AN23" s="2">
        <f t="shared" si="9"/>
        <v>-7736</v>
      </c>
      <c r="AO23" s="2">
        <f t="shared" si="9"/>
        <v>-7736</v>
      </c>
      <c r="AP23" s="2">
        <f t="shared" si="9"/>
        <v>-7736</v>
      </c>
      <c r="AQ23" s="2">
        <f t="shared" si="9"/>
        <v>-7736</v>
      </c>
      <c r="AR23" s="2">
        <f t="shared" si="9"/>
        <v>-7736</v>
      </c>
      <c r="AS23" s="2">
        <f t="shared" si="9"/>
        <v>-7736</v>
      </c>
      <c r="AT23" s="2">
        <f t="shared" si="9"/>
        <v>-7736</v>
      </c>
      <c r="AU23" s="2">
        <f t="shared" si="9"/>
        <v>-7736</v>
      </c>
      <c r="AV23" s="2">
        <f t="shared" si="9"/>
        <v>-7736</v>
      </c>
      <c r="AW23" s="2">
        <f t="shared" si="9"/>
        <v>-7736</v>
      </c>
      <c r="AX23" s="2">
        <f t="shared" si="9"/>
        <v>-7736</v>
      </c>
    </row>
    <row r="24" spans="2:50" x14ac:dyDescent="0.25">
      <c r="B24" s="1" t="s">
        <v>14</v>
      </c>
      <c r="C24" s="6">
        <f>$C$3+C23</f>
        <v>123253</v>
      </c>
      <c r="D24" s="2">
        <f t="shared" ref="D24:J24" si="10">C24*(1+$C$6)+D23</f>
        <v>130203.59</v>
      </c>
      <c r="E24" s="2">
        <f t="shared" si="10"/>
        <v>137362.69769999999</v>
      </c>
      <c r="F24" s="2">
        <f t="shared" si="10"/>
        <v>144736.57863099998</v>
      </c>
      <c r="G24" s="2">
        <f t="shared" si="10"/>
        <v>141342.67598992999</v>
      </c>
      <c r="H24" s="2">
        <f t="shared" si="10"/>
        <v>137846.9562696279</v>
      </c>
      <c r="I24" s="2">
        <f t="shared" si="10"/>
        <v>134246.36495771675</v>
      </c>
      <c r="J24" s="11">
        <f t="shared" si="10"/>
        <v>130537.75590644826</v>
      </c>
      <c r="K24" s="2"/>
      <c r="L24" s="2">
        <f>J24*(1+$C$6)+L23</f>
        <v>126717.8885836417</v>
      </c>
      <c r="M24" s="2">
        <f t="shared" ref="M24:AX24" si="11">L24*(1+$C$6)+M23</f>
        <v>122783.42524115095</v>
      </c>
      <c r="N24" s="2">
        <f t="shared" si="11"/>
        <v>118730.92799838548</v>
      </c>
      <c r="O24" s="2">
        <f t="shared" si="11"/>
        <v>114556.85583833704</v>
      </c>
      <c r="P24" s="2">
        <f t="shared" si="11"/>
        <v>110257.56151348715</v>
      </c>
      <c r="Q24" s="2">
        <f t="shared" si="11"/>
        <v>105829.28835889176</v>
      </c>
      <c r="R24" s="2">
        <f t="shared" si="11"/>
        <v>101268.16700965851</v>
      </c>
      <c r="S24" s="2">
        <f t="shared" si="11"/>
        <v>96570.212019948274</v>
      </c>
      <c r="T24" s="2">
        <f t="shared" si="11"/>
        <v>91731.318380546727</v>
      </c>
      <c r="U24" s="2">
        <f t="shared" si="11"/>
        <v>86747.257931963133</v>
      </c>
      <c r="V24" s="2">
        <f t="shared" si="11"/>
        <v>81613.675669922028</v>
      </c>
      <c r="W24" s="2">
        <f t="shared" si="11"/>
        <v>76326.085940019693</v>
      </c>
      <c r="X24" s="2">
        <f t="shared" si="11"/>
        <v>70879.86851822029</v>
      </c>
      <c r="Y24" s="2">
        <f t="shared" si="11"/>
        <v>65270.264573766894</v>
      </c>
      <c r="Z24" s="2">
        <f t="shared" si="11"/>
        <v>59492.372510979898</v>
      </c>
      <c r="AA24" s="2">
        <f t="shared" si="11"/>
        <v>53541.143686309297</v>
      </c>
      <c r="AB24" s="2">
        <f t="shared" si="11"/>
        <v>47411.377996898576</v>
      </c>
      <c r="AC24" s="2">
        <f t="shared" si="11"/>
        <v>41097.719336805538</v>
      </c>
      <c r="AD24" s="2">
        <f t="shared" si="11"/>
        <v>34594.650916909704</v>
      </c>
      <c r="AE24" s="2">
        <f t="shared" si="11"/>
        <v>27896.490444416995</v>
      </c>
      <c r="AF24" s="2">
        <f t="shared" si="11"/>
        <v>20997.385157749504</v>
      </c>
      <c r="AG24" s="2">
        <f t="shared" si="11"/>
        <v>13891.30671248199</v>
      </c>
      <c r="AH24" s="2">
        <f t="shared" si="11"/>
        <v>6572.0459138564493</v>
      </c>
      <c r="AI24" s="2">
        <f t="shared" si="11"/>
        <v>-966.79270872785673</v>
      </c>
      <c r="AJ24" s="2">
        <f t="shared" si="11"/>
        <v>-8731.7964899896924</v>
      </c>
      <c r="AK24" s="2">
        <f t="shared" si="11"/>
        <v>-16729.750384689381</v>
      </c>
      <c r="AL24" s="2">
        <f t="shared" si="11"/>
        <v>-24967.642896230063</v>
      </c>
      <c r="AM24" s="2">
        <f t="shared" si="11"/>
        <v>-33452.672183116971</v>
      </c>
      <c r="AN24" s="2">
        <f t="shared" si="11"/>
        <v>-42192.252348610484</v>
      </c>
      <c r="AO24" s="2">
        <f t="shared" si="11"/>
        <v>-51194.0199190688</v>
      </c>
      <c r="AP24" s="2">
        <f t="shared" si="11"/>
        <v>-60465.840516640863</v>
      </c>
      <c r="AQ24" s="2">
        <f t="shared" si="11"/>
        <v>-70015.815732140094</v>
      </c>
      <c r="AR24" s="2">
        <f t="shared" si="11"/>
        <v>-79852.290204104298</v>
      </c>
      <c r="AS24" s="2">
        <f t="shared" si="11"/>
        <v>-89983.858910227427</v>
      </c>
      <c r="AT24" s="2">
        <f t="shared" si="11"/>
        <v>-100419.37467753426</v>
      </c>
      <c r="AU24" s="2">
        <f t="shared" si="11"/>
        <v>-111167.95591786029</v>
      </c>
      <c r="AV24" s="2">
        <f t="shared" si="11"/>
        <v>-122238.9945953961</v>
      </c>
      <c r="AW24" s="2">
        <f t="shared" si="11"/>
        <v>-133642.164433258</v>
      </c>
      <c r="AX24" s="2">
        <f t="shared" si="11"/>
        <v>-145387.42936625576</v>
      </c>
    </row>
    <row r="26" spans="2:50" x14ac:dyDescent="0.25">
      <c r="B26" s="3" t="s">
        <v>18</v>
      </c>
      <c r="C26" s="17" t="s">
        <v>24</v>
      </c>
    </row>
    <row r="27" spans="2:50" x14ac:dyDescent="0.25">
      <c r="C27" s="17" t="s">
        <v>25</v>
      </c>
    </row>
  </sheetData>
  <mergeCells count="4">
    <mergeCell ref="C14:F14"/>
    <mergeCell ref="G14:J14"/>
    <mergeCell ref="C19:F19"/>
    <mergeCell ref="G19:J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F0640-F04B-4DC8-9F0C-5224A4E00679}">
  <dimension ref="B2:AX27"/>
  <sheetViews>
    <sheetView workbookViewId="0">
      <selection activeCell="E17" sqref="E17"/>
    </sheetView>
  </sheetViews>
  <sheetFormatPr defaultRowHeight="15" x14ac:dyDescent="0.25"/>
  <cols>
    <col min="2" max="2" width="46.7109375" style="1" customWidth="1"/>
    <col min="3" max="9" width="15.7109375" customWidth="1"/>
    <col min="10" max="10" width="12.7109375" customWidth="1"/>
    <col min="11" max="11" width="4.7109375" customWidth="1"/>
    <col min="12" max="50" width="12.7109375" customWidth="1"/>
  </cols>
  <sheetData>
    <row r="2" spans="2:10" x14ac:dyDescent="0.25">
      <c r="B2" s="3" t="s">
        <v>17</v>
      </c>
    </row>
    <row r="3" spans="2:10" x14ac:dyDescent="0.25">
      <c r="B3" s="1" t="s">
        <v>9</v>
      </c>
      <c r="C3" s="8">
        <v>120000</v>
      </c>
    </row>
    <row r="4" spans="2:10" x14ac:dyDescent="0.25">
      <c r="B4" s="1" t="s">
        <v>7</v>
      </c>
      <c r="C4" s="8">
        <v>30253</v>
      </c>
    </row>
    <row r="5" spans="2:10" x14ac:dyDescent="0.25">
      <c r="B5" s="1" t="s">
        <v>8</v>
      </c>
      <c r="C5" s="8">
        <v>17264</v>
      </c>
    </row>
    <row r="6" spans="2:10" x14ac:dyDescent="0.25">
      <c r="B6" s="1" t="s">
        <v>6</v>
      </c>
      <c r="C6" s="9">
        <v>0.03</v>
      </c>
    </row>
    <row r="7" spans="2:10" x14ac:dyDescent="0.25">
      <c r="B7" s="1" t="s">
        <v>13</v>
      </c>
      <c r="C7" s="8">
        <v>50000</v>
      </c>
    </row>
    <row r="8" spans="2:10" x14ac:dyDescent="0.25">
      <c r="B8" s="1" t="s">
        <v>10</v>
      </c>
      <c r="C8" t="s">
        <v>11</v>
      </c>
    </row>
    <row r="9" spans="2:10" x14ac:dyDescent="0.25">
      <c r="C9" s="19" t="s">
        <v>23</v>
      </c>
    </row>
    <row r="10" spans="2:10" s="16" customFormat="1" ht="15.75" thickBot="1" x14ac:dyDescent="0.3"/>
    <row r="11" spans="2:10" ht="15.75" thickTop="1" x14ac:dyDescent="0.25"/>
    <row r="12" spans="2:10" x14ac:dyDescent="0.25">
      <c r="B12" s="3" t="s">
        <v>19</v>
      </c>
      <c r="C12" s="18" t="s">
        <v>21</v>
      </c>
    </row>
    <row r="13" spans="2:10" x14ac:dyDescent="0.25">
      <c r="B13" s="3"/>
      <c r="C13" s="18"/>
    </row>
    <row r="14" spans="2:10" x14ac:dyDescent="0.25">
      <c r="C14" s="20" t="s">
        <v>3</v>
      </c>
      <c r="D14" s="20"/>
      <c r="E14" s="20"/>
      <c r="F14" s="20"/>
      <c r="G14" s="20" t="s">
        <v>4</v>
      </c>
      <c r="H14" s="20"/>
      <c r="I14" s="20"/>
      <c r="J14" s="20"/>
    </row>
    <row r="15" spans="2:10" x14ac:dyDescent="0.25">
      <c r="B15" s="4" t="s">
        <v>5</v>
      </c>
      <c r="C15" s="4">
        <v>63</v>
      </c>
      <c r="D15" s="4">
        <f>C15+1</f>
        <v>64</v>
      </c>
      <c r="E15" s="4">
        <f t="shared" ref="E15:J15" si="0">D15+1</f>
        <v>65</v>
      </c>
      <c r="F15" s="4">
        <f t="shared" si="0"/>
        <v>66</v>
      </c>
      <c r="G15" s="4">
        <f t="shared" si="0"/>
        <v>67</v>
      </c>
      <c r="H15" s="4">
        <f t="shared" si="0"/>
        <v>68</v>
      </c>
      <c r="I15" s="4">
        <f t="shared" si="0"/>
        <v>69</v>
      </c>
      <c r="J15" s="4">
        <f t="shared" si="0"/>
        <v>70</v>
      </c>
    </row>
    <row r="16" spans="2:10" x14ac:dyDescent="0.25">
      <c r="B16" s="1" t="s">
        <v>12</v>
      </c>
      <c r="C16" s="2">
        <v>0</v>
      </c>
      <c r="D16" s="2">
        <v>0</v>
      </c>
      <c r="E16" s="2">
        <f>C7</f>
        <v>50000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</row>
    <row r="17" spans="2:50" x14ac:dyDescent="0.25">
      <c r="B17" s="1" t="s">
        <v>30</v>
      </c>
      <c r="C17" s="7">
        <v>2500</v>
      </c>
      <c r="D17" s="7">
        <v>2500</v>
      </c>
      <c r="E17" s="7">
        <v>25000</v>
      </c>
      <c r="F17" s="7">
        <v>10000</v>
      </c>
      <c r="G17" s="7">
        <v>5000</v>
      </c>
      <c r="H17" s="7">
        <v>5000</v>
      </c>
      <c r="I17" s="7">
        <v>0</v>
      </c>
      <c r="J17" s="7">
        <v>0</v>
      </c>
    </row>
    <row r="19" spans="2:50" ht="15" customHeight="1" x14ac:dyDescent="0.25">
      <c r="B19" s="3" t="s">
        <v>22</v>
      </c>
      <c r="C19" s="20" t="s">
        <v>3</v>
      </c>
      <c r="D19" s="20"/>
      <c r="E19" s="20"/>
      <c r="F19" s="20"/>
      <c r="G19" s="20" t="s">
        <v>4</v>
      </c>
      <c r="H19" s="20"/>
      <c r="I19" s="20"/>
      <c r="J19" s="20"/>
      <c r="K19" s="5"/>
    </row>
    <row r="20" spans="2:50" s="4" customFormat="1" x14ac:dyDescent="0.25">
      <c r="B20" s="4" t="s">
        <v>5</v>
      </c>
      <c r="C20" s="4">
        <v>63</v>
      </c>
      <c r="D20" s="4">
        <f>C20+1</f>
        <v>64</v>
      </c>
      <c r="E20" s="4">
        <f t="shared" ref="E20:AX20" si="1">D20+1</f>
        <v>65</v>
      </c>
      <c r="F20" s="4">
        <f t="shared" si="1"/>
        <v>66</v>
      </c>
      <c r="G20" s="4">
        <f t="shared" si="1"/>
        <v>67</v>
      </c>
      <c r="H20" s="4">
        <f t="shared" si="1"/>
        <v>68</v>
      </c>
      <c r="I20" s="4">
        <f t="shared" si="1"/>
        <v>69</v>
      </c>
      <c r="J20" s="4">
        <f t="shared" si="1"/>
        <v>70</v>
      </c>
      <c r="K20" s="3"/>
      <c r="L20" s="4">
        <f>J20+1</f>
        <v>71</v>
      </c>
      <c r="M20" s="4">
        <f t="shared" si="1"/>
        <v>72</v>
      </c>
      <c r="N20" s="4">
        <f t="shared" si="1"/>
        <v>73</v>
      </c>
      <c r="O20" s="4">
        <f t="shared" si="1"/>
        <v>74</v>
      </c>
      <c r="P20" s="4">
        <f t="shared" si="1"/>
        <v>75</v>
      </c>
      <c r="Q20" s="4">
        <f t="shared" si="1"/>
        <v>76</v>
      </c>
      <c r="R20" s="4">
        <f t="shared" si="1"/>
        <v>77</v>
      </c>
      <c r="S20" s="4">
        <f t="shared" si="1"/>
        <v>78</v>
      </c>
      <c r="T20" s="4">
        <f t="shared" si="1"/>
        <v>79</v>
      </c>
      <c r="U20" s="4">
        <f t="shared" si="1"/>
        <v>80</v>
      </c>
      <c r="V20" s="4">
        <f t="shared" si="1"/>
        <v>81</v>
      </c>
      <c r="W20" s="4">
        <f t="shared" si="1"/>
        <v>82</v>
      </c>
      <c r="X20" s="4">
        <f t="shared" si="1"/>
        <v>83</v>
      </c>
      <c r="Y20" s="4">
        <f t="shared" si="1"/>
        <v>84</v>
      </c>
      <c r="Z20" s="4">
        <f t="shared" si="1"/>
        <v>85</v>
      </c>
      <c r="AA20" s="4">
        <f t="shared" si="1"/>
        <v>86</v>
      </c>
      <c r="AB20" s="4">
        <f t="shared" si="1"/>
        <v>87</v>
      </c>
      <c r="AC20" s="4">
        <f t="shared" si="1"/>
        <v>88</v>
      </c>
      <c r="AD20" s="4">
        <f t="shared" si="1"/>
        <v>89</v>
      </c>
      <c r="AE20" s="4">
        <f t="shared" si="1"/>
        <v>90</v>
      </c>
      <c r="AF20" s="4">
        <f t="shared" si="1"/>
        <v>91</v>
      </c>
      <c r="AG20" s="4">
        <f t="shared" si="1"/>
        <v>92</v>
      </c>
      <c r="AH20" s="4">
        <f t="shared" si="1"/>
        <v>93</v>
      </c>
      <c r="AI20" s="4">
        <f t="shared" si="1"/>
        <v>94</v>
      </c>
      <c r="AJ20" s="4">
        <f t="shared" si="1"/>
        <v>95</v>
      </c>
      <c r="AK20" s="4">
        <f t="shared" si="1"/>
        <v>96</v>
      </c>
      <c r="AL20" s="4">
        <f t="shared" si="1"/>
        <v>97</v>
      </c>
      <c r="AM20" s="4">
        <f t="shared" si="1"/>
        <v>98</v>
      </c>
      <c r="AN20" s="4">
        <f t="shared" si="1"/>
        <v>99</v>
      </c>
      <c r="AO20" s="4">
        <f t="shared" si="1"/>
        <v>100</v>
      </c>
      <c r="AP20" s="4">
        <f t="shared" si="1"/>
        <v>101</v>
      </c>
      <c r="AQ20" s="4">
        <f t="shared" si="1"/>
        <v>102</v>
      </c>
      <c r="AR20" s="4">
        <f t="shared" si="1"/>
        <v>103</v>
      </c>
      <c r="AS20" s="4">
        <f t="shared" si="1"/>
        <v>104</v>
      </c>
      <c r="AT20" s="4">
        <f t="shared" si="1"/>
        <v>105</v>
      </c>
      <c r="AU20" s="4">
        <f t="shared" si="1"/>
        <v>106</v>
      </c>
      <c r="AV20" s="4">
        <f t="shared" si="1"/>
        <v>107</v>
      </c>
      <c r="AW20" s="4">
        <f t="shared" si="1"/>
        <v>108</v>
      </c>
      <c r="AX20" s="4">
        <f t="shared" si="1"/>
        <v>109</v>
      </c>
    </row>
    <row r="21" spans="2:50" x14ac:dyDescent="0.25">
      <c r="B21" s="1" t="s">
        <v>0</v>
      </c>
      <c r="C21" s="2">
        <f>$C$4</f>
        <v>30253</v>
      </c>
      <c r="D21" s="2">
        <f>$C$4</f>
        <v>30253</v>
      </c>
      <c r="E21" s="2">
        <f>$C$4</f>
        <v>30253</v>
      </c>
      <c r="F21" s="2">
        <f>$C$4</f>
        <v>30253</v>
      </c>
      <c r="G21" s="2">
        <f>$C$5</f>
        <v>17264</v>
      </c>
      <c r="H21" s="2">
        <f>$C$5</f>
        <v>17264</v>
      </c>
      <c r="I21" s="2">
        <f>$C$5</f>
        <v>17264</v>
      </c>
      <c r="J21" s="2">
        <f>$C$5</f>
        <v>17264</v>
      </c>
      <c r="K21" s="2"/>
      <c r="L21" s="2">
        <f t="shared" ref="L21:AX21" si="2">$C$5</f>
        <v>17264</v>
      </c>
      <c r="M21" s="2">
        <f t="shared" si="2"/>
        <v>17264</v>
      </c>
      <c r="N21" s="2">
        <f t="shared" si="2"/>
        <v>17264</v>
      </c>
      <c r="O21" s="2">
        <f t="shared" si="2"/>
        <v>17264</v>
      </c>
      <c r="P21" s="2">
        <f t="shared" si="2"/>
        <v>17264</v>
      </c>
      <c r="Q21" s="2">
        <f t="shared" si="2"/>
        <v>17264</v>
      </c>
      <c r="R21" s="2">
        <f t="shared" si="2"/>
        <v>17264</v>
      </c>
      <c r="S21" s="2">
        <f t="shared" si="2"/>
        <v>17264</v>
      </c>
      <c r="T21" s="2">
        <f t="shared" si="2"/>
        <v>17264</v>
      </c>
      <c r="U21" s="2">
        <f t="shared" si="2"/>
        <v>17264</v>
      </c>
      <c r="V21" s="2">
        <f t="shared" si="2"/>
        <v>17264</v>
      </c>
      <c r="W21" s="2">
        <f t="shared" si="2"/>
        <v>17264</v>
      </c>
      <c r="X21" s="2">
        <f t="shared" si="2"/>
        <v>17264</v>
      </c>
      <c r="Y21" s="2">
        <f t="shared" si="2"/>
        <v>17264</v>
      </c>
      <c r="Z21" s="2">
        <f t="shared" si="2"/>
        <v>17264</v>
      </c>
      <c r="AA21" s="2">
        <f t="shared" si="2"/>
        <v>17264</v>
      </c>
      <c r="AB21" s="2">
        <f t="shared" si="2"/>
        <v>17264</v>
      </c>
      <c r="AC21" s="2">
        <f t="shared" si="2"/>
        <v>17264</v>
      </c>
      <c r="AD21" s="2">
        <f t="shared" si="2"/>
        <v>17264</v>
      </c>
      <c r="AE21" s="2">
        <f t="shared" si="2"/>
        <v>17264</v>
      </c>
      <c r="AF21" s="2">
        <f t="shared" si="2"/>
        <v>17264</v>
      </c>
      <c r="AG21" s="2">
        <f t="shared" si="2"/>
        <v>17264</v>
      </c>
      <c r="AH21" s="2">
        <f t="shared" si="2"/>
        <v>17264</v>
      </c>
      <c r="AI21" s="2">
        <f t="shared" si="2"/>
        <v>17264</v>
      </c>
      <c r="AJ21" s="2">
        <f t="shared" si="2"/>
        <v>17264</v>
      </c>
      <c r="AK21" s="2">
        <f t="shared" si="2"/>
        <v>17264</v>
      </c>
      <c r="AL21" s="2">
        <f t="shared" si="2"/>
        <v>17264</v>
      </c>
      <c r="AM21" s="2">
        <f t="shared" si="2"/>
        <v>17264</v>
      </c>
      <c r="AN21" s="2">
        <f t="shared" si="2"/>
        <v>17264</v>
      </c>
      <c r="AO21" s="2">
        <f t="shared" si="2"/>
        <v>17264</v>
      </c>
      <c r="AP21" s="2">
        <f t="shared" si="2"/>
        <v>17264</v>
      </c>
      <c r="AQ21" s="2">
        <f t="shared" si="2"/>
        <v>17264</v>
      </c>
      <c r="AR21" s="2">
        <f t="shared" si="2"/>
        <v>17264</v>
      </c>
      <c r="AS21" s="2">
        <f t="shared" si="2"/>
        <v>17264</v>
      </c>
      <c r="AT21" s="2">
        <f t="shared" si="2"/>
        <v>17264</v>
      </c>
      <c r="AU21" s="2">
        <f t="shared" si="2"/>
        <v>17264</v>
      </c>
      <c r="AV21" s="2">
        <f t="shared" si="2"/>
        <v>17264</v>
      </c>
      <c r="AW21" s="2">
        <f t="shared" si="2"/>
        <v>17264</v>
      </c>
      <c r="AX21" s="2">
        <f t="shared" si="2"/>
        <v>17264</v>
      </c>
    </row>
    <row r="22" spans="2:50" x14ac:dyDescent="0.25">
      <c r="B22" s="1" t="s">
        <v>1</v>
      </c>
      <c r="C22" s="2">
        <v>27000</v>
      </c>
      <c r="D22" s="2">
        <v>27000</v>
      </c>
      <c r="E22" s="2">
        <v>27000</v>
      </c>
      <c r="F22" s="2">
        <v>27000</v>
      </c>
      <c r="G22" s="2">
        <v>25000</v>
      </c>
      <c r="H22" s="2">
        <v>25000</v>
      </c>
      <c r="I22" s="2">
        <v>25000</v>
      </c>
      <c r="J22" s="2">
        <v>25000</v>
      </c>
      <c r="K22" s="2"/>
      <c r="L22" s="10">
        <f>J22</f>
        <v>25000</v>
      </c>
      <c r="M22" s="10">
        <f>L22</f>
        <v>25000</v>
      </c>
      <c r="N22" s="10">
        <f t="shared" ref="N22:AX22" si="3">M22</f>
        <v>25000</v>
      </c>
      <c r="O22" s="10">
        <f t="shared" si="3"/>
        <v>25000</v>
      </c>
      <c r="P22" s="10">
        <f t="shared" si="3"/>
        <v>25000</v>
      </c>
      <c r="Q22" s="10">
        <f t="shared" si="3"/>
        <v>25000</v>
      </c>
      <c r="R22" s="10">
        <f t="shared" si="3"/>
        <v>25000</v>
      </c>
      <c r="S22" s="10">
        <f t="shared" si="3"/>
        <v>25000</v>
      </c>
      <c r="T22" s="10">
        <f t="shared" si="3"/>
        <v>25000</v>
      </c>
      <c r="U22" s="10">
        <f t="shared" si="3"/>
        <v>25000</v>
      </c>
      <c r="V22" s="10">
        <f t="shared" si="3"/>
        <v>25000</v>
      </c>
      <c r="W22" s="10">
        <f t="shared" si="3"/>
        <v>25000</v>
      </c>
      <c r="X22" s="10">
        <f t="shared" si="3"/>
        <v>25000</v>
      </c>
      <c r="Y22" s="10">
        <f t="shared" si="3"/>
        <v>25000</v>
      </c>
      <c r="Z22" s="10">
        <f t="shared" si="3"/>
        <v>25000</v>
      </c>
      <c r="AA22" s="10">
        <f t="shared" si="3"/>
        <v>25000</v>
      </c>
      <c r="AB22" s="10">
        <f t="shared" si="3"/>
        <v>25000</v>
      </c>
      <c r="AC22" s="10">
        <f t="shared" si="3"/>
        <v>25000</v>
      </c>
      <c r="AD22" s="10">
        <f t="shared" si="3"/>
        <v>25000</v>
      </c>
      <c r="AE22" s="10">
        <f t="shared" si="3"/>
        <v>25000</v>
      </c>
      <c r="AF22" s="10">
        <f t="shared" si="3"/>
        <v>25000</v>
      </c>
      <c r="AG22" s="10">
        <f t="shared" si="3"/>
        <v>25000</v>
      </c>
      <c r="AH22" s="10">
        <f t="shared" si="3"/>
        <v>25000</v>
      </c>
      <c r="AI22" s="10">
        <f t="shared" si="3"/>
        <v>25000</v>
      </c>
      <c r="AJ22" s="10">
        <f t="shared" si="3"/>
        <v>25000</v>
      </c>
      <c r="AK22" s="10">
        <f t="shared" si="3"/>
        <v>25000</v>
      </c>
      <c r="AL22" s="10">
        <f t="shared" si="3"/>
        <v>25000</v>
      </c>
      <c r="AM22" s="10">
        <f t="shared" si="3"/>
        <v>25000</v>
      </c>
      <c r="AN22" s="10">
        <f t="shared" si="3"/>
        <v>25000</v>
      </c>
      <c r="AO22" s="10">
        <f t="shared" si="3"/>
        <v>25000</v>
      </c>
      <c r="AP22" s="10">
        <f t="shared" si="3"/>
        <v>25000</v>
      </c>
      <c r="AQ22" s="10">
        <f t="shared" si="3"/>
        <v>25000</v>
      </c>
      <c r="AR22" s="10">
        <f t="shared" si="3"/>
        <v>25000</v>
      </c>
      <c r="AS22" s="10">
        <f t="shared" si="3"/>
        <v>25000</v>
      </c>
      <c r="AT22" s="10">
        <f t="shared" si="3"/>
        <v>25000</v>
      </c>
      <c r="AU22" s="10">
        <f t="shared" si="3"/>
        <v>25000</v>
      </c>
      <c r="AV22" s="10">
        <f t="shared" si="3"/>
        <v>25000</v>
      </c>
      <c r="AW22" s="10">
        <f t="shared" si="3"/>
        <v>25000</v>
      </c>
      <c r="AX22" s="10">
        <f t="shared" si="3"/>
        <v>25000</v>
      </c>
    </row>
    <row r="23" spans="2:50" x14ac:dyDescent="0.25">
      <c r="B23" s="1" t="s">
        <v>2</v>
      </c>
      <c r="C23" s="2">
        <f t="shared" ref="C23:AX23" si="4">C21-C22</f>
        <v>3253</v>
      </c>
      <c r="D23" s="2">
        <f t="shared" si="4"/>
        <v>3253</v>
      </c>
      <c r="E23" s="2">
        <f t="shared" si="4"/>
        <v>3253</v>
      </c>
      <c r="F23" s="2">
        <f t="shared" si="4"/>
        <v>3253</v>
      </c>
      <c r="G23" s="2">
        <f t="shared" si="4"/>
        <v>-7736</v>
      </c>
      <c r="H23" s="2">
        <f t="shared" si="4"/>
        <v>-7736</v>
      </c>
      <c r="I23" s="2">
        <f t="shared" si="4"/>
        <v>-7736</v>
      </c>
      <c r="J23" s="2">
        <f t="shared" si="4"/>
        <v>-7736</v>
      </c>
      <c r="K23" s="2"/>
      <c r="L23" s="2">
        <f t="shared" si="4"/>
        <v>-7736</v>
      </c>
      <c r="M23" s="2">
        <f t="shared" si="4"/>
        <v>-7736</v>
      </c>
      <c r="N23" s="2">
        <f t="shared" si="4"/>
        <v>-7736</v>
      </c>
      <c r="O23" s="2">
        <f t="shared" si="4"/>
        <v>-7736</v>
      </c>
      <c r="P23" s="2">
        <f t="shared" si="4"/>
        <v>-7736</v>
      </c>
      <c r="Q23" s="2">
        <f t="shared" si="4"/>
        <v>-7736</v>
      </c>
      <c r="R23" s="2">
        <f t="shared" si="4"/>
        <v>-7736</v>
      </c>
      <c r="S23" s="2">
        <f t="shared" si="4"/>
        <v>-7736</v>
      </c>
      <c r="T23" s="2">
        <f t="shared" si="4"/>
        <v>-7736</v>
      </c>
      <c r="U23" s="2">
        <f t="shared" si="4"/>
        <v>-7736</v>
      </c>
      <c r="V23" s="2">
        <f t="shared" si="4"/>
        <v>-7736</v>
      </c>
      <c r="W23" s="2">
        <f t="shared" si="4"/>
        <v>-7736</v>
      </c>
      <c r="X23" s="2">
        <f t="shared" si="4"/>
        <v>-7736</v>
      </c>
      <c r="Y23" s="2">
        <f t="shared" si="4"/>
        <v>-7736</v>
      </c>
      <c r="Z23" s="2">
        <f t="shared" si="4"/>
        <v>-7736</v>
      </c>
      <c r="AA23" s="2">
        <f t="shared" si="4"/>
        <v>-7736</v>
      </c>
      <c r="AB23" s="2">
        <f t="shared" si="4"/>
        <v>-7736</v>
      </c>
      <c r="AC23" s="2">
        <f t="shared" si="4"/>
        <v>-7736</v>
      </c>
      <c r="AD23" s="2">
        <f t="shared" si="4"/>
        <v>-7736</v>
      </c>
      <c r="AE23" s="2">
        <f t="shared" si="4"/>
        <v>-7736</v>
      </c>
      <c r="AF23" s="2">
        <f t="shared" si="4"/>
        <v>-7736</v>
      </c>
      <c r="AG23" s="2">
        <f t="shared" si="4"/>
        <v>-7736</v>
      </c>
      <c r="AH23" s="2">
        <f t="shared" si="4"/>
        <v>-7736</v>
      </c>
      <c r="AI23" s="2">
        <f t="shared" si="4"/>
        <v>-7736</v>
      </c>
      <c r="AJ23" s="2">
        <f t="shared" si="4"/>
        <v>-7736</v>
      </c>
      <c r="AK23" s="2">
        <f t="shared" si="4"/>
        <v>-7736</v>
      </c>
      <c r="AL23" s="2">
        <f t="shared" si="4"/>
        <v>-7736</v>
      </c>
      <c r="AM23" s="2">
        <f t="shared" si="4"/>
        <v>-7736</v>
      </c>
      <c r="AN23" s="2">
        <f t="shared" si="4"/>
        <v>-7736</v>
      </c>
      <c r="AO23" s="2">
        <f t="shared" si="4"/>
        <v>-7736</v>
      </c>
      <c r="AP23" s="2">
        <f t="shared" si="4"/>
        <v>-7736</v>
      </c>
      <c r="AQ23" s="2">
        <f t="shared" si="4"/>
        <v>-7736</v>
      </c>
      <c r="AR23" s="2">
        <f t="shared" si="4"/>
        <v>-7736</v>
      </c>
      <c r="AS23" s="2">
        <f t="shared" si="4"/>
        <v>-7736</v>
      </c>
      <c r="AT23" s="2">
        <f t="shared" si="4"/>
        <v>-7736</v>
      </c>
      <c r="AU23" s="2">
        <f t="shared" si="4"/>
        <v>-7736</v>
      </c>
      <c r="AV23" s="2">
        <f t="shared" si="4"/>
        <v>-7736</v>
      </c>
      <c r="AW23" s="2">
        <f t="shared" si="4"/>
        <v>-7736</v>
      </c>
      <c r="AX23" s="2">
        <f t="shared" si="4"/>
        <v>-7736</v>
      </c>
    </row>
    <row r="24" spans="2:50" x14ac:dyDescent="0.25">
      <c r="B24" s="1" t="s">
        <v>14</v>
      </c>
      <c r="C24" s="6">
        <f>$C$3+C23</f>
        <v>123253</v>
      </c>
      <c r="D24" s="2">
        <f t="shared" ref="D24:J24" si="5">C24*(1+$C$6)+D23</f>
        <v>130203.59</v>
      </c>
      <c r="E24" s="2">
        <f t="shared" si="5"/>
        <v>137362.69769999999</v>
      </c>
      <c r="F24" s="2">
        <f t="shared" si="5"/>
        <v>144736.57863099998</v>
      </c>
      <c r="G24" s="2">
        <f t="shared" si="5"/>
        <v>141342.67598992999</v>
      </c>
      <c r="H24" s="2">
        <f t="shared" si="5"/>
        <v>137846.9562696279</v>
      </c>
      <c r="I24" s="2">
        <f t="shared" si="5"/>
        <v>134246.36495771675</v>
      </c>
      <c r="J24" s="11">
        <f t="shared" si="5"/>
        <v>130537.75590644826</v>
      </c>
      <c r="K24" s="2"/>
      <c r="L24" s="2">
        <f>J24*(1+$C$6)+L23</f>
        <v>126717.8885836417</v>
      </c>
      <c r="M24" s="2">
        <f t="shared" ref="M24:AX24" si="6">L24*(1+$C$6)+M23</f>
        <v>122783.42524115095</v>
      </c>
      <c r="N24" s="2">
        <f t="shared" si="6"/>
        <v>118730.92799838548</v>
      </c>
      <c r="O24" s="2">
        <f t="shared" si="6"/>
        <v>114556.85583833704</v>
      </c>
      <c r="P24" s="2">
        <f t="shared" si="6"/>
        <v>110257.56151348715</v>
      </c>
      <c r="Q24" s="2">
        <f t="shared" si="6"/>
        <v>105829.28835889176</v>
      </c>
      <c r="R24" s="2">
        <f t="shared" si="6"/>
        <v>101268.16700965851</v>
      </c>
      <c r="S24" s="2">
        <f t="shared" si="6"/>
        <v>96570.212019948274</v>
      </c>
      <c r="T24" s="2">
        <f t="shared" si="6"/>
        <v>91731.318380546727</v>
      </c>
      <c r="U24" s="2">
        <f t="shared" si="6"/>
        <v>86747.257931963133</v>
      </c>
      <c r="V24" s="2">
        <f t="shared" si="6"/>
        <v>81613.675669922028</v>
      </c>
      <c r="W24" s="2">
        <f t="shared" si="6"/>
        <v>76326.085940019693</v>
      </c>
      <c r="X24" s="2">
        <f t="shared" si="6"/>
        <v>70879.86851822029</v>
      </c>
      <c r="Y24" s="2">
        <f t="shared" si="6"/>
        <v>65270.264573766894</v>
      </c>
      <c r="Z24" s="2">
        <f t="shared" si="6"/>
        <v>59492.372510979898</v>
      </c>
      <c r="AA24" s="2">
        <f t="shared" si="6"/>
        <v>53541.143686309297</v>
      </c>
      <c r="AB24" s="2">
        <f t="shared" si="6"/>
        <v>47411.377996898576</v>
      </c>
      <c r="AC24" s="2">
        <f t="shared" si="6"/>
        <v>41097.719336805538</v>
      </c>
      <c r="AD24" s="2">
        <f t="shared" si="6"/>
        <v>34594.650916909704</v>
      </c>
      <c r="AE24" s="2">
        <f t="shared" si="6"/>
        <v>27896.490444416995</v>
      </c>
      <c r="AF24" s="2">
        <f t="shared" si="6"/>
        <v>20997.385157749504</v>
      </c>
      <c r="AG24" s="2">
        <f t="shared" si="6"/>
        <v>13891.30671248199</v>
      </c>
      <c r="AH24" s="2">
        <f t="shared" si="6"/>
        <v>6572.0459138564493</v>
      </c>
      <c r="AI24" s="2">
        <f t="shared" si="6"/>
        <v>-966.79270872785673</v>
      </c>
      <c r="AJ24" s="2">
        <f t="shared" si="6"/>
        <v>-8731.7964899896924</v>
      </c>
      <c r="AK24" s="2">
        <f t="shared" si="6"/>
        <v>-16729.750384689381</v>
      </c>
      <c r="AL24" s="2">
        <f t="shared" si="6"/>
        <v>-24967.642896230063</v>
      </c>
      <c r="AM24" s="2">
        <f t="shared" si="6"/>
        <v>-33452.672183116971</v>
      </c>
      <c r="AN24" s="2">
        <f t="shared" si="6"/>
        <v>-42192.252348610484</v>
      </c>
      <c r="AO24" s="2">
        <f t="shared" si="6"/>
        <v>-51194.0199190688</v>
      </c>
      <c r="AP24" s="2">
        <f t="shared" si="6"/>
        <v>-60465.840516640863</v>
      </c>
      <c r="AQ24" s="2">
        <f t="shared" si="6"/>
        <v>-70015.815732140094</v>
      </c>
      <c r="AR24" s="2">
        <f t="shared" si="6"/>
        <v>-79852.290204104298</v>
      </c>
      <c r="AS24" s="2">
        <f t="shared" si="6"/>
        <v>-89983.858910227427</v>
      </c>
      <c r="AT24" s="2">
        <f t="shared" si="6"/>
        <v>-100419.37467753426</v>
      </c>
      <c r="AU24" s="2">
        <f t="shared" si="6"/>
        <v>-111167.95591786029</v>
      </c>
      <c r="AV24" s="2">
        <f t="shared" si="6"/>
        <v>-122238.9945953961</v>
      </c>
      <c r="AW24" s="2">
        <f t="shared" si="6"/>
        <v>-133642.164433258</v>
      </c>
      <c r="AX24" s="2">
        <f t="shared" si="6"/>
        <v>-145387.42936625576</v>
      </c>
    </row>
    <row r="26" spans="2:50" x14ac:dyDescent="0.25">
      <c r="B26" s="3" t="s">
        <v>18</v>
      </c>
      <c r="C26" s="17" t="s">
        <v>24</v>
      </c>
    </row>
    <row r="27" spans="2:50" x14ac:dyDescent="0.25">
      <c r="C27" s="17" t="s">
        <v>25</v>
      </c>
    </row>
  </sheetData>
  <mergeCells count="4">
    <mergeCell ref="C14:F14"/>
    <mergeCell ref="G14:J14"/>
    <mergeCell ref="C19:F19"/>
    <mergeCell ref="G19:J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- Before Scenario</vt:lpstr>
      <vt:lpstr>Reframed - Present</vt:lpstr>
      <vt:lpstr>Reframed - Future</vt:lpstr>
      <vt:lpstr>Natural_1 - Present</vt:lpstr>
      <vt:lpstr>Natural_1 - Future</vt:lpstr>
      <vt:lpstr>Natural_2 - Present</vt:lpstr>
      <vt:lpstr>Natural_2 - Future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Ungeheuer</dc:creator>
  <cp:lastModifiedBy>Michael Ungeheuer</cp:lastModifiedBy>
  <dcterms:created xsi:type="dcterms:W3CDTF">2026-09-02T14:41:40Z</dcterms:created>
  <dcterms:modified xsi:type="dcterms:W3CDTF">2026-09-22T14:54:57Z</dcterms:modified>
</cp:coreProperties>
</file>